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en" sheetId="3" state="visible" r:id="rId3"/>
    <sheet xmlns:r="http://schemas.openxmlformats.org/officeDocument/2006/relationships" name="Finanzen" sheetId="4" state="visible" r:id="rId4"/>
    <sheet xmlns:r="http://schemas.openxmlformats.org/officeDocument/2006/relationships" name="Kunden &amp; Vertrieb" sheetId="5" state="visible" r:id="rId5"/>
    <sheet xmlns:r="http://schemas.openxmlformats.org/officeDocument/2006/relationships" name="Produkt &amp; Technik" sheetId="6" state="visible" r:id="rId6"/>
    <sheet xmlns:r="http://schemas.openxmlformats.org/officeDocument/2006/relationships" name="Personal" sheetId="7" state="visible" r:id="rId7"/>
    <sheet xmlns:r="http://schemas.openxmlformats.org/officeDocument/2006/relationships" name="Markt &amp; Strategi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&quot; €&quot;;\-#,##0&quot; €&quot;;\–"/>
    <numFmt numFmtId="165" formatCode="#,##0;\-#,##0;\–"/>
    <numFmt numFmtId="166" formatCode="00%;\-00%;\–"/>
    <numFmt numFmtId="167" formatCode="0.0&quot; : 1&quot;"/>
    <numFmt numFmtId="168" formatCode="0%;\-0%;\–"/>
    <numFmt numFmtId="169" formatCode="#,##0.0;\-#,##0.0;\–"/>
    <numFmt numFmtId="170" formatCode="0.0\×"/>
    <numFmt numFmtId="171" formatCode="0.0%;\-0.0%;&quot;&lt; 0,1 %&quot;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30"/>
    </font>
    <font>
      <name val="Arial"/>
      <charset val="1"/>
      <family val="0"/>
      <color rgb="FFD9C9F5"/>
      <sz val="15"/>
    </font>
    <font>
      <name val="Arial"/>
      <charset val="1"/>
      <family val="0"/>
      <i val="1"/>
      <color rgb="FFE24A4A"/>
      <sz val="11"/>
    </font>
    <font>
      <name val="Arial"/>
      <charset val="1"/>
      <family val="0"/>
      <b val="1"/>
      <color rgb="FF4C2E8E"/>
      <sz val="9.5"/>
    </font>
    <font>
      <name val="Arial"/>
      <charset val="1"/>
      <family val="0"/>
      <color rgb="FF1A1A2E"/>
      <sz val="9.5"/>
    </font>
    <font>
      <name val="Arial"/>
      <charset val="1"/>
      <family val="0"/>
      <i val="1"/>
      <color rgb="FF4C2E8E"/>
      <sz val="8.5"/>
    </font>
    <font>
      <name val="Arial"/>
      <charset val="1"/>
      <family val="0"/>
      <b val="1"/>
      <color rgb="FF4C2E8E"/>
      <sz val="22"/>
    </font>
    <font>
      <name val="Arial"/>
      <charset val="1"/>
      <family val="0"/>
      <color rgb="FF6B6B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C2E8E"/>
      <sz val="8"/>
    </font>
    <font>
      <name val="Arial"/>
      <charset val="1"/>
      <family val="0"/>
      <b val="1"/>
      <color rgb="FF1A1A2E"/>
      <sz val="17"/>
    </font>
    <font>
      <name val="Arial"/>
      <charset val="1"/>
      <family val="0"/>
      <b val="1"/>
      <color rgb="FF1E7A5A"/>
      <sz val="8"/>
    </font>
    <font>
      <name val="Arial"/>
      <charset val="1"/>
      <family val="0"/>
      <b val="1"/>
      <color rgb="FFC0392B"/>
      <sz val="8"/>
    </font>
    <font>
      <name val="Arial"/>
      <charset val="1"/>
      <family val="0"/>
      <b val="1"/>
      <color rgb="FFB87333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B6B80"/>
      <sz val="9.5"/>
    </font>
    <font>
      <name val="Arial"/>
      <charset val="1"/>
      <family val="0"/>
      <b val="1"/>
      <color rgb="FF1A1A2E"/>
      <sz val="9.5"/>
    </font>
    <font>
      <name val="Arial"/>
      <charset val="1"/>
      <family val="0"/>
      <b val="1"/>
      <color rgb="FFC0392B"/>
      <sz val="8.5"/>
    </font>
    <font>
      <name val="Arial"/>
      <charset val="1"/>
      <family val="0"/>
      <color rgb="FF6B6B80"/>
      <sz val="8.5"/>
    </font>
    <font>
      <name val="Arial"/>
      <charset val="1"/>
      <family val="0"/>
      <b val="1"/>
      <color rgb="FFB87333"/>
      <sz val="8.5"/>
    </font>
    <font>
      <name val="Arial"/>
      <charset val="1"/>
      <family val="0"/>
      <b val="1"/>
      <color rgb="FF1E7A5A"/>
      <sz val="8.5"/>
    </font>
    <font>
      <name val="Arial"/>
      <charset val="1"/>
      <family val="0"/>
      <b val="1"/>
      <color rgb="FF4C2E8E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i val="1"/>
      <color rgb="FF6B6B80"/>
      <sz val="8"/>
    </font>
    <font>
      <name val="Arial"/>
      <charset val="1"/>
      <family val="0"/>
      <b val="1"/>
      <color rgb="FF6B6B80"/>
      <sz val="9.5"/>
    </font>
    <font>
      <name val="Arial"/>
      <charset val="1"/>
      <family val="0"/>
      <b val="1"/>
      <color rgb="FFE24A4A"/>
      <sz val="9.5"/>
    </font>
    <font>
      <name val="Arial"/>
      <charset val="1"/>
      <family val="0"/>
      <color rgb="FF1A1A2E"/>
      <sz val="9"/>
    </font>
    <font>
      <name val="Arial"/>
      <charset val="1"/>
      <family val="0"/>
      <b val="1"/>
      <color rgb="FF1E7A5A"/>
      <sz val="9.5"/>
    </font>
    <font>
      <name val="Arial"/>
      <charset val="1"/>
      <family val="0"/>
      <i val="1"/>
      <color rgb="FF6B6B80"/>
      <sz val="9.5"/>
    </font>
    <font>
      <name val="Arial"/>
      <charset val="1"/>
      <family val="0"/>
      <color rgb="FF1A1A2E"/>
      <sz val="8.5"/>
    </font>
    <font>
      <name val="Arial"/>
      <charset val="1"/>
      <family val="0"/>
      <i val="1"/>
      <color rgb="FF6B6B80"/>
      <sz val="8.5"/>
    </font>
    <font>
      <name val="Arial"/>
      <charset val="1"/>
      <family val="0"/>
      <b val="1"/>
      <color rgb="FFFFFFFF"/>
      <sz val="9.5"/>
    </font>
    <font>
      <name val="Arial"/>
      <charset val="1"/>
      <family val="0"/>
      <b val="1"/>
      <color rgb="FF4C2E8E"/>
      <sz val="8.5"/>
    </font>
  </fonts>
  <fills count="8">
    <fill>
      <patternFill/>
    </fill>
    <fill>
      <patternFill patternType="gray125"/>
    </fill>
    <fill>
      <patternFill patternType="solid">
        <fgColor rgb="FF4C2E8E"/>
        <bgColor rgb="FF6B46C1"/>
      </patternFill>
    </fill>
    <fill>
      <patternFill patternType="solid">
        <fgColor rgb="FFF1EAFB"/>
        <bgColor rgb="FFE5E0EE"/>
      </patternFill>
    </fill>
    <fill>
      <patternFill patternType="solid">
        <fgColor rgb="FF6B46C1"/>
        <bgColor rgb="FF4C2E8E"/>
      </patternFill>
    </fill>
    <fill>
      <patternFill patternType="solid">
        <fgColor rgb="FF1E7A5A"/>
        <bgColor rgb="FF008080"/>
      </patternFill>
    </fill>
    <fill>
      <patternFill patternType="solid">
        <fgColor rgb="FFE24A4A"/>
        <bgColor rgb="FFC0392B"/>
      </patternFill>
    </fill>
    <fill>
      <patternFill patternType="solid">
        <fgColor rgb="FFB87333"/>
        <bgColor rgb="FFE24A4A"/>
      </patternFill>
    </fill>
  </fills>
  <borders count="4">
    <border>
      <left/>
      <right/>
      <top/>
      <bottom/>
      <diagonal/>
    </border>
    <border>
      <left/>
      <right/>
      <top style="thin">
        <color rgb="FF6B46C1"/>
      </top>
      <bottom/>
      <diagonal/>
    </border>
    <border>
      <left/>
      <right/>
      <top style="medium">
        <color rgb="FFE24A4A"/>
      </top>
      <bottom/>
      <diagonal/>
    </border>
    <border>
      <left/>
      <right/>
      <top style="medium">
        <color rgb="FF6B46C1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2"/>
    </xf>
    <xf numFmtId="0" fontId="5" fillId="2" borderId="0" applyAlignment="1" pivotButton="0" quotePrefix="0" xfId="0">
      <alignment horizontal="general" vertical="center" indent="2"/>
    </xf>
    <xf numFmtId="0" fontId="6" fillId="2" borderId="0" applyAlignment="1" pivotButton="0" quotePrefix="0" xfId="0">
      <alignment horizontal="general" vertical="center" indent="2"/>
    </xf>
    <xf numFmtId="0" fontId="7" fillId="3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general" vertical="top" wrapText="1" indent="1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2" fillId="4" borderId="0" applyAlignment="1" pivotButton="0" quotePrefix="0" xfId="0">
      <alignment horizontal="general" vertical="center" indent="1"/>
    </xf>
    <xf numFmtId="0" fontId="0" fillId="4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center" indent="1"/>
    </xf>
    <xf numFmtId="164" fontId="14" fillId="3" borderId="0" applyAlignment="1" pivotButton="0" quotePrefix="0" xfId="0">
      <alignment horizontal="general" vertical="center" indent="1"/>
    </xf>
    <xf numFmtId="165" fontId="14" fillId="3" borderId="0" applyAlignment="1" pivotButton="0" quotePrefix="0" xfId="0">
      <alignment horizontal="general" vertical="center" indent="1"/>
    </xf>
    <xf numFmtId="166" fontId="14" fillId="3" borderId="0" applyAlignment="1" pivotButton="0" quotePrefix="0" xfId="0">
      <alignment horizontal="general" vertical="center" indent="1"/>
    </xf>
    <xf numFmtId="0" fontId="15" fillId="3" borderId="0" applyAlignment="1" pivotButton="0" quotePrefix="0" xfId="0">
      <alignment horizontal="general" vertical="center" indent="1"/>
    </xf>
    <xf numFmtId="0" fontId="16" fillId="3" borderId="0" applyAlignment="1" pivotButton="0" quotePrefix="0" xfId="0">
      <alignment horizontal="general" vertical="center" indent="1"/>
    </xf>
    <xf numFmtId="167" fontId="14" fillId="3" borderId="0" applyAlignment="1" pivotButton="0" quotePrefix="0" xfId="0">
      <alignment horizontal="general" vertical="center" indent="1"/>
    </xf>
    <xf numFmtId="0" fontId="17" fillId="3" borderId="0" applyAlignment="1" pivotButton="0" quotePrefix="0" xfId="0">
      <alignment horizontal="general" vertical="center" indent="1"/>
    </xf>
    <xf numFmtId="0" fontId="18" fillId="2" borderId="0" applyAlignment="1" pivotButton="0" quotePrefix="0" xfId="0">
      <alignment horizontal="left" vertical="center" wrapText="1" indent="1"/>
    </xf>
    <xf numFmtId="0" fontId="18" fillId="2" borderId="0" applyAlignment="1" pivotButton="0" quotePrefix="0" xfId="0">
      <alignment horizontal="right" vertical="center" wrapText="1"/>
    </xf>
    <xf numFmtId="0" fontId="18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6" fontId="19" fillId="3" borderId="0" applyAlignment="1" pivotButton="0" quotePrefix="0" xfId="0">
      <alignment horizontal="right" vertical="center"/>
    </xf>
    <xf numFmtId="166" fontId="20" fillId="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 indent="1"/>
    </xf>
    <xf numFmtId="166" fontId="19" fillId="0" borderId="0" applyAlignment="1" pivotButton="0" quotePrefix="0" xfId="0">
      <alignment horizontal="right" vertical="center"/>
    </xf>
    <xf numFmtId="166" fontId="2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165" fontId="19" fillId="3" borderId="0" applyAlignment="1" pivotButton="0" quotePrefix="0" xfId="0">
      <alignment horizontal="right" vertical="center"/>
    </xf>
    <xf numFmtId="165" fontId="20" fillId="3" borderId="0" applyAlignment="1" pivotButton="0" quotePrefix="0" xfId="0">
      <alignment horizontal="right" vertical="center"/>
    </xf>
    <xf numFmtId="165" fontId="19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right" vertical="center"/>
    </xf>
    <xf numFmtId="164" fontId="19" fillId="3" borderId="0" applyAlignment="1" pivotButton="0" quotePrefix="0" xfId="0">
      <alignment horizontal="right" vertical="center"/>
    </xf>
    <xf numFmtId="164" fontId="20" fillId="3" borderId="0" applyAlignment="1" pivotButton="0" quotePrefix="0" xfId="0">
      <alignment horizontal="right" vertical="center"/>
    </xf>
    <xf numFmtId="0" fontId="24" fillId="3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general" vertical="center" wrapText="1" indent="1"/>
    </xf>
    <xf numFmtId="165" fontId="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166" fontId="29" fillId="0" borderId="1" applyAlignment="1" pivotButton="0" quotePrefix="0" xfId="0">
      <alignment horizontal="left" vertical="center"/>
    </xf>
    <xf numFmtId="0" fontId="30" fillId="0" borderId="2" applyAlignment="1" pivotButton="0" quotePrefix="0" xfId="0">
      <alignment horizontal="left" vertical="center"/>
    </xf>
    <xf numFmtId="164" fontId="30" fillId="0" borderId="2" applyAlignment="1" pivotButton="0" quotePrefix="0" xfId="0">
      <alignment horizontal="left" vertical="center"/>
    </xf>
    <xf numFmtId="166" fontId="29" fillId="0" borderId="2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indent="1"/>
    </xf>
    <xf numFmtId="0" fontId="31" fillId="3" borderId="0" applyAlignment="1" pivotButton="0" quotePrefix="0" xfId="0">
      <alignment horizontal="left" vertical="center" indent="1"/>
    </xf>
    <xf numFmtId="165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 indent="1"/>
    </xf>
    <xf numFmtId="164" fontId="20" fillId="3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1"/>
    </xf>
    <xf numFmtId="164" fontId="32" fillId="3" borderId="0" applyAlignment="1" pivotButton="0" quotePrefix="0" xfId="0">
      <alignment horizontal="right" vertical="center"/>
    </xf>
    <xf numFmtId="164" fontId="32" fillId="0" borderId="0" applyAlignment="1" pivotButton="0" quotePrefix="0" xfId="0">
      <alignment horizontal="right" vertical="center"/>
    </xf>
    <xf numFmtId="164" fontId="30" fillId="3" borderId="0" applyAlignment="1" pivotButton="0" quotePrefix="0" xfId="0">
      <alignment horizontal="right" vertical="center"/>
    </xf>
    <xf numFmtId="0" fontId="7" fillId="0" borderId="3" applyAlignment="1" pivotButton="0" quotePrefix="0" xfId="0">
      <alignment horizontal="left" vertical="center"/>
    </xf>
    <xf numFmtId="164" fontId="7" fillId="0" borderId="3" applyAlignment="1" pivotButton="0" quotePrefix="0" xfId="0">
      <alignment horizontal="left" vertical="center"/>
    </xf>
    <xf numFmtId="168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left" vertical="center"/>
    </xf>
    <xf numFmtId="168" fontId="19" fillId="3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9" fontId="19" fillId="0" borderId="0" applyAlignment="1" pivotButton="0" quotePrefix="0" xfId="0">
      <alignment horizontal="left" vertical="center"/>
    </xf>
    <xf numFmtId="165" fontId="20" fillId="3" borderId="0" applyAlignment="1" pivotButton="0" quotePrefix="0" xfId="0">
      <alignment horizontal="left" vertical="center"/>
    </xf>
    <xf numFmtId="169" fontId="19" fillId="3" borderId="0" applyAlignment="1" pivotButton="0" quotePrefix="0" xfId="0">
      <alignment horizontal="left" vertical="center"/>
    </xf>
    <xf numFmtId="168" fontId="7" fillId="3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 indent="1"/>
    </xf>
    <xf numFmtId="168" fontId="33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indent="1"/>
    </xf>
    <xf numFmtId="168" fontId="8" fillId="3" borderId="0" applyAlignment="1" pivotButton="0" quotePrefix="0" xfId="0">
      <alignment horizontal="right" vertical="center"/>
    </xf>
    <xf numFmtId="170" fontId="8" fillId="3" borderId="0" applyAlignment="1" pivotButton="0" quotePrefix="0" xfId="0">
      <alignment horizontal="right" vertical="center"/>
    </xf>
    <xf numFmtId="0" fontId="22" fillId="3" borderId="0" applyAlignment="1" pivotButton="0" quotePrefix="0" xfId="0">
      <alignment horizontal="left" vertical="center" indent="1"/>
    </xf>
    <xf numFmtId="168" fontId="7" fillId="0" borderId="1" applyAlignment="1" pivotButton="0" quotePrefix="0" xfId="0">
      <alignment horizontal="left" vertical="center"/>
    </xf>
    <xf numFmtId="167" fontId="30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center" vertical="center"/>
    </xf>
    <xf numFmtId="169" fontId="20" fillId="3" borderId="0" applyAlignment="1" pivotButton="0" quotePrefix="0" xfId="0">
      <alignment horizontal="right" vertical="center"/>
    </xf>
    <xf numFmtId="169" fontId="19" fillId="3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left" vertical="center" indent="1"/>
    </xf>
    <xf numFmtId="0" fontId="34" fillId="3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5" fillId="0" borderId="0" applyAlignment="1" pivotButton="0" quotePrefix="0" xfId="0">
      <alignment horizontal="left" vertical="center" indent="1"/>
    </xf>
    <xf numFmtId="0" fontId="29" fillId="3" borderId="0" applyAlignment="1" pivotButton="0" quotePrefix="0" xfId="0">
      <alignment horizontal="left" vertical="center" indent="1"/>
    </xf>
    <xf numFmtId="0" fontId="35" fillId="3" borderId="0" applyAlignment="1" pivotButton="0" quotePrefix="0" xfId="0">
      <alignment horizontal="left" vertical="center" indent="1"/>
    </xf>
    <xf numFmtId="165" fontId="19" fillId="0" borderId="0" applyAlignment="1" pivotButton="0" quotePrefix="0" xfId="0">
      <alignment horizontal="left" vertical="center"/>
    </xf>
    <xf numFmtId="165" fontId="19" fillId="3" borderId="0" applyAlignment="1" pivotButton="0" quotePrefix="0" xfId="0">
      <alignment horizontal="left" vertical="center"/>
    </xf>
    <xf numFmtId="171" fontId="8" fillId="0" borderId="0" applyAlignment="1" pivotButton="0" quotePrefix="0" xfId="0">
      <alignment horizontal="right" vertical="center"/>
    </xf>
    <xf numFmtId="171" fontId="8" fillId="3" borderId="0" applyAlignment="1" pivotButton="0" quotePrefix="0" xfId="0">
      <alignment horizontal="right" vertical="center"/>
    </xf>
    <xf numFmtId="0" fontId="30" fillId="3" borderId="0" applyAlignment="1" pivotButton="0" quotePrefix="0" xfId="0">
      <alignment horizontal="left" vertical="center" indent="1"/>
    </xf>
    <xf numFmtId="171" fontId="30" fillId="3" borderId="0" applyAlignment="1" pivotButton="0" quotePrefix="0" xfId="0">
      <alignment horizontal="right" vertical="center"/>
    </xf>
    <xf numFmtId="0" fontId="36" fillId="5" borderId="0" applyAlignment="1" pivotButton="0" quotePrefix="0" xfId="0">
      <alignment horizontal="general" vertical="center" indent="1"/>
    </xf>
    <xf numFmtId="0" fontId="0" fillId="5" borderId="0" applyAlignment="1" pivotButton="0" quotePrefix="0" xfId="0">
      <alignment horizontal="general" vertical="bottom"/>
    </xf>
    <xf numFmtId="0" fontId="36" fillId="6" borderId="0" applyAlignment="1" pivotButton="0" quotePrefix="0" xfId="0">
      <alignment horizontal="general" vertical="center" indent="1"/>
    </xf>
    <xf numFmtId="0" fontId="0" fillId="6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center" indent="1"/>
    </xf>
    <xf numFmtId="0" fontId="36" fillId="4" borderId="0" applyAlignment="1" pivotButton="0" quotePrefix="0" xfId="0">
      <alignment horizontal="general" vertical="center" indent="1"/>
    </xf>
    <xf numFmtId="0" fontId="0" fillId="4" borderId="0" applyAlignment="1" pivotButton="0" quotePrefix="0" xfId="0">
      <alignment horizontal="general" vertical="bottom"/>
    </xf>
    <xf numFmtId="0" fontId="36" fillId="7" borderId="0" applyAlignment="1" pivotButton="0" quotePrefix="0" xfId="0">
      <alignment horizontal="general" vertical="center" indent="1"/>
    </xf>
    <xf numFmtId="0" fontId="0" fillId="7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left" vertical="center" indent="1"/>
    </xf>
    <xf numFmtId="0" fontId="37" fillId="3" borderId="0" applyAlignment="1" pivotButton="0" quotePrefix="0" xfId="0">
      <alignment horizontal="left" vertical="center" indent="1"/>
    </xf>
    <xf numFmtId="167" fontId="20" fillId="0" borderId="0" applyAlignment="1" pivotButton="0" quotePrefix="0" xfId="0">
      <alignment horizontal="right" vertical="center"/>
    </xf>
    <xf numFmtId="167" fontId="19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2"/>
    </xf>
    <xf numFmtId="0" fontId="5" fillId="2" borderId="0" applyAlignment="1" pivotButton="0" quotePrefix="0" xfId="0">
      <alignment horizontal="general" vertical="center" indent="2"/>
    </xf>
    <xf numFmtId="0" fontId="6" fillId="2" borderId="0" applyAlignment="1" pivotButton="0" quotePrefix="0" xfId="0">
      <alignment horizontal="general" vertical="center" indent="2"/>
    </xf>
    <xf numFmtId="0" fontId="7" fillId="3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general" vertical="top" wrapText="1" indent="1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2" fillId="4" borderId="0" applyAlignment="1" pivotButton="0" quotePrefix="0" xfId="0">
      <alignment horizontal="general" vertical="center" indent="1"/>
    </xf>
    <xf numFmtId="0" fontId="0" fillId="4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general" vertical="center" indent="1"/>
    </xf>
    <xf numFmtId="164" fontId="14" fillId="3" borderId="0" applyAlignment="1" pivotButton="0" quotePrefix="0" xfId="0">
      <alignment horizontal="general" vertical="center" indent="1"/>
    </xf>
    <xf numFmtId="165" fontId="14" fillId="3" borderId="0" applyAlignment="1" pivotButton="0" quotePrefix="0" xfId="0">
      <alignment horizontal="general" vertical="center" indent="1"/>
    </xf>
    <xf numFmtId="166" fontId="14" fillId="3" borderId="0" applyAlignment="1" pivotButton="0" quotePrefix="0" xfId="0">
      <alignment horizontal="general" vertical="center" indent="1"/>
    </xf>
    <xf numFmtId="0" fontId="15" fillId="3" borderId="0" applyAlignment="1" pivotButton="0" quotePrefix="0" xfId="0">
      <alignment horizontal="general" vertical="center" indent="1"/>
    </xf>
    <xf numFmtId="0" fontId="16" fillId="3" borderId="0" applyAlignment="1" pivotButton="0" quotePrefix="0" xfId="0">
      <alignment horizontal="general" vertical="center" indent="1"/>
    </xf>
    <xf numFmtId="167" fontId="14" fillId="3" borderId="0" applyAlignment="1" pivotButton="0" quotePrefix="0" xfId="0">
      <alignment horizontal="general" vertical="center" indent="1"/>
    </xf>
    <xf numFmtId="0" fontId="17" fillId="3" borderId="0" applyAlignment="1" pivotButton="0" quotePrefix="0" xfId="0">
      <alignment horizontal="general" vertical="center" indent="1"/>
    </xf>
    <xf numFmtId="0" fontId="18" fillId="2" borderId="0" applyAlignment="1" pivotButton="0" quotePrefix="0" xfId="0">
      <alignment horizontal="left" vertical="center" wrapText="1" indent="1"/>
    </xf>
    <xf numFmtId="0" fontId="18" fillId="2" borderId="0" applyAlignment="1" pivotButton="0" quotePrefix="0" xfId="0">
      <alignment horizontal="right" vertical="center" wrapText="1"/>
    </xf>
    <xf numFmtId="0" fontId="18" fillId="2" borderId="0" applyAlignment="1" pivotButton="0" quotePrefix="0" xfId="0">
      <alignment horizontal="center" vertical="center" wrapText="1"/>
    </xf>
    <xf numFmtId="164" fontId="19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6" fontId="19" fillId="3" borderId="0" applyAlignment="1" pivotButton="0" quotePrefix="0" xfId="0">
      <alignment horizontal="right" vertical="center"/>
    </xf>
    <xf numFmtId="166" fontId="20" fillId="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 indent="1"/>
    </xf>
    <xf numFmtId="166" fontId="19" fillId="0" borderId="0" applyAlignment="1" pivotButton="0" quotePrefix="0" xfId="0">
      <alignment horizontal="right" vertical="center"/>
    </xf>
    <xf numFmtId="166" fontId="2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165" fontId="19" fillId="3" borderId="0" applyAlignment="1" pivotButton="0" quotePrefix="0" xfId="0">
      <alignment horizontal="right" vertical="center"/>
    </xf>
    <xf numFmtId="165" fontId="20" fillId="3" borderId="0" applyAlignment="1" pivotButton="0" quotePrefix="0" xfId="0">
      <alignment horizontal="right" vertical="center"/>
    </xf>
    <xf numFmtId="165" fontId="19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right" vertical="center"/>
    </xf>
    <xf numFmtId="164" fontId="19" fillId="3" borderId="0" applyAlignment="1" pivotButton="0" quotePrefix="0" xfId="0">
      <alignment horizontal="right" vertical="center"/>
    </xf>
    <xf numFmtId="164" fontId="20" fillId="3" borderId="0" applyAlignment="1" pivotButton="0" quotePrefix="0" xfId="0">
      <alignment horizontal="right" vertical="center"/>
    </xf>
    <xf numFmtId="0" fontId="24" fillId="3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general" vertical="center" wrapText="1" indent="1"/>
    </xf>
    <xf numFmtId="165" fontId="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top" wrapText="1"/>
    </xf>
    <xf numFmtId="164" fontId="8" fillId="0" borderId="0" applyAlignment="1" pivotButton="0" quotePrefix="0" xfId="0">
      <alignment horizontal="right" vertical="center"/>
    </xf>
    <xf numFmtId="164" fontId="20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166" fontId="29" fillId="0" borderId="1" applyAlignment="1" pivotButton="0" quotePrefix="0" xfId="0">
      <alignment horizontal="left" vertical="center"/>
    </xf>
    <xf numFmtId="0" fontId="30" fillId="0" borderId="2" applyAlignment="1" pivotButton="0" quotePrefix="0" xfId="0">
      <alignment horizontal="left" vertical="center"/>
    </xf>
    <xf numFmtId="164" fontId="30" fillId="0" borderId="2" applyAlignment="1" pivotButton="0" quotePrefix="0" xfId="0">
      <alignment horizontal="left" vertical="center"/>
    </xf>
    <xf numFmtId="166" fontId="29" fillId="0" borderId="2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left" vertical="center" indent="1"/>
    </xf>
    <xf numFmtId="0" fontId="31" fillId="3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top" wrapText="1"/>
    </xf>
    <xf numFmtId="165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 indent="1"/>
    </xf>
    <xf numFmtId="164" fontId="20" fillId="3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indent="1"/>
    </xf>
    <xf numFmtId="164" fontId="32" fillId="3" borderId="0" applyAlignment="1" pivotButton="0" quotePrefix="0" xfId="0">
      <alignment horizontal="right" vertical="center"/>
    </xf>
    <xf numFmtId="164" fontId="32" fillId="0" borderId="0" applyAlignment="1" pivotButton="0" quotePrefix="0" xfId="0">
      <alignment horizontal="right" vertical="center"/>
    </xf>
    <xf numFmtId="164" fontId="30" fillId="3" borderId="0" applyAlignment="1" pivotButton="0" quotePrefix="0" xfId="0">
      <alignment horizontal="right" vertical="center"/>
    </xf>
    <xf numFmtId="0" fontId="7" fillId="0" borderId="3" applyAlignment="1" pivotButton="0" quotePrefix="0" xfId="0">
      <alignment horizontal="left" vertical="center"/>
    </xf>
    <xf numFmtId="164" fontId="7" fillId="0" borderId="3" applyAlignment="1" pivotButton="0" quotePrefix="0" xfId="0">
      <alignment horizontal="left" vertical="center"/>
    </xf>
    <xf numFmtId="168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left" vertical="center"/>
    </xf>
    <xf numFmtId="168" fontId="19" fillId="3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9" fontId="19" fillId="0" borderId="0" applyAlignment="1" pivotButton="0" quotePrefix="0" xfId="0">
      <alignment horizontal="left" vertical="center"/>
    </xf>
    <xf numFmtId="165" fontId="20" fillId="3" borderId="0" applyAlignment="1" pivotButton="0" quotePrefix="0" xfId="0">
      <alignment horizontal="left" vertical="center"/>
    </xf>
    <xf numFmtId="169" fontId="19" fillId="3" borderId="0" applyAlignment="1" pivotButton="0" quotePrefix="0" xfId="0">
      <alignment horizontal="left" vertical="center"/>
    </xf>
    <xf numFmtId="168" fontId="7" fillId="3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 indent="1"/>
    </xf>
    <xf numFmtId="168" fontId="33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168" fontId="8" fillId="3" borderId="0" applyAlignment="1" pivotButton="0" quotePrefix="0" xfId="0">
      <alignment horizontal="right" vertical="center"/>
    </xf>
    <xf numFmtId="170" fontId="8" fillId="3" borderId="0" applyAlignment="1" pivotButton="0" quotePrefix="0" xfId="0">
      <alignment horizontal="right" vertical="center"/>
    </xf>
    <xf numFmtId="168" fontId="7" fillId="0" borderId="1" applyAlignment="1" pivotButton="0" quotePrefix="0" xfId="0">
      <alignment horizontal="left" vertical="center"/>
    </xf>
    <xf numFmtId="167" fontId="30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center" vertical="center"/>
    </xf>
    <xf numFmtId="169" fontId="20" fillId="3" borderId="0" applyAlignment="1" pivotButton="0" quotePrefix="0" xfId="0">
      <alignment horizontal="right" vertical="center"/>
    </xf>
    <xf numFmtId="169" fontId="19" fillId="3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left" vertical="center" indent="1"/>
    </xf>
    <xf numFmtId="0" fontId="34" fillId="3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5" fillId="0" borderId="0" applyAlignment="1" pivotButton="0" quotePrefix="0" xfId="0">
      <alignment horizontal="left" vertical="center" indent="1"/>
    </xf>
    <xf numFmtId="0" fontId="29" fillId="3" borderId="0" applyAlignment="1" pivotButton="0" quotePrefix="0" xfId="0">
      <alignment horizontal="left" vertical="center" indent="1"/>
    </xf>
    <xf numFmtId="0" fontId="35" fillId="3" borderId="0" applyAlignment="1" pivotButton="0" quotePrefix="0" xfId="0">
      <alignment horizontal="left" vertical="center" indent="1"/>
    </xf>
    <xf numFmtId="165" fontId="19" fillId="0" borderId="0" applyAlignment="1" pivotButton="0" quotePrefix="0" xfId="0">
      <alignment horizontal="left" vertical="center"/>
    </xf>
    <xf numFmtId="165" fontId="19" fillId="3" borderId="0" applyAlignment="1" pivotButton="0" quotePrefix="0" xfId="0">
      <alignment horizontal="left" vertical="center"/>
    </xf>
    <xf numFmtId="171" fontId="8" fillId="0" borderId="0" applyAlignment="1" pivotButton="0" quotePrefix="0" xfId="0">
      <alignment horizontal="right" vertical="center"/>
    </xf>
    <xf numFmtId="171" fontId="8" fillId="3" borderId="0" applyAlignment="1" pivotButton="0" quotePrefix="0" xfId="0">
      <alignment horizontal="right" vertical="center"/>
    </xf>
    <xf numFmtId="0" fontId="30" fillId="3" borderId="0" applyAlignment="1" pivotButton="0" quotePrefix="0" xfId="0">
      <alignment horizontal="left" vertical="center" indent="1"/>
    </xf>
    <xf numFmtId="171" fontId="30" fillId="3" borderId="0" applyAlignment="1" pivotButton="0" quotePrefix="0" xfId="0">
      <alignment horizontal="right" vertical="center"/>
    </xf>
    <xf numFmtId="0" fontId="36" fillId="5" borderId="0" applyAlignment="1" pivotButton="0" quotePrefix="0" xfId="0">
      <alignment horizontal="general" vertical="center" indent="1"/>
    </xf>
    <xf numFmtId="0" fontId="0" fillId="5" borderId="0" applyAlignment="1" pivotButton="0" quotePrefix="0" xfId="0">
      <alignment horizontal="general" vertical="bottom"/>
    </xf>
    <xf numFmtId="0" fontId="36" fillId="6" borderId="0" applyAlignment="1" pivotButton="0" quotePrefix="0" xfId="0">
      <alignment horizontal="general" vertical="center" indent="1"/>
    </xf>
    <xf numFmtId="0" fontId="0" fillId="6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center" indent="1"/>
    </xf>
    <xf numFmtId="0" fontId="36" fillId="7" borderId="0" applyAlignment="1" pivotButton="0" quotePrefix="0" xfId="0">
      <alignment horizontal="general" vertical="center" indent="1"/>
    </xf>
    <xf numFmtId="0" fontId="0" fillId="7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left" vertical="center" indent="1"/>
    </xf>
    <xf numFmtId="0" fontId="37" fillId="3" borderId="0" applyAlignment="1" pivotButton="0" quotePrefix="0" xfId="0">
      <alignment horizontal="left" vertical="center" indent="1"/>
    </xf>
    <xf numFmtId="167" fontId="20" fillId="0" borderId="0" applyAlignment="1" pivotButton="0" quotePrefix="0" xfId="0">
      <alignment horizontal="right" vertical="center"/>
    </xf>
    <xf numFmtId="167" fontId="19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1E7A5A"/>
      <rgbColor rgb="FFD9D9D9"/>
      <rgbColor rgb="FF878787"/>
      <rgbColor rgb="FFA98BE0"/>
      <rgbColor rgb="FF6B46C1"/>
      <rgbColor rgb="FFF1EAFB"/>
      <rgbColor rgb="FFE5E0EE"/>
      <rgbColor rgb="FF660066"/>
      <rgbColor rgb="FFFF8080"/>
      <rgbColor rgb="FF0066CC"/>
      <rgbColor rgb="FFD9C9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4A4A"/>
      <rgbColor rgb="FF6B6B80"/>
      <rgbColor rgb="FF969696"/>
      <rgbColor rgb="FF003366"/>
      <rgbColor rgb="FF339966"/>
      <rgbColor rgb="FF003300"/>
      <rgbColor rgb="FF333300"/>
      <rgbColor rgb="FFC0392B"/>
      <rgbColor rgb="FF993366"/>
      <rgbColor rgb="FF4C2E8E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MRR-Entwicklung 2025 (monatlich, in €)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Daten!C5</f>
              <strCache>
                <ptCount val="1"/>
                <pt idx="0">
                  <v>MRR (€)</v>
                </pt>
              </strCache>
            </strRef>
          </tx>
          <spPr>
            <a:solidFill xmlns:a="http://schemas.openxmlformats.org/drawingml/2006/main">
              <a:srgbClr val="6b46c1"/>
            </a:solidFill>
            <a:ln xmlns:a="http://schemas.openxmlformats.org/drawingml/2006/main" w="28080">
              <a:solidFill>
                <a:srgbClr val="6b46c1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6b46c1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Daten!$B$6:$B$17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Daten!$C$6:$C$17</f>
              <numCache>
                <formatCode>#,##0;\-#,##0;\–</formatCode>
                <ptCount val="12"/>
                <pt idx="0">
                  <v>18346</v>
                </pt>
                <pt idx="1">
                  <v>19507</v>
                </pt>
                <pt idx="2">
                  <v>20706</v>
                </pt>
                <pt idx="3">
                  <v>21824</v>
                </pt>
                <pt idx="4">
                  <v>22908</v>
                </pt>
                <pt idx="5">
                  <v>24549</v>
                </pt>
                <pt idx="6">
                  <v>25704</v>
                </pt>
                <pt idx="7">
                  <v>27378</v>
                </pt>
                <pt idx="8">
                  <v>29070</v>
                </pt>
                <pt idx="9">
                  <v>30780</v>
                </pt>
                <pt idx="10">
                  <v>32508</v>
                </pt>
                <pt idx="11">
                  <v>34320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35394373"/>
        <axId val="36672422"/>
      </lineChart>
      <catAx>
        <axId val="3539437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6672422"/>
        <crosses val="autoZero"/>
        <auto val="1"/>
        <lblAlgn val="ctr"/>
        <lblOffset val="100"/>
        <noMultiLvlLbl val="0"/>
      </catAx>
      <valAx>
        <axId val="36672422"/>
        <scaling>
          <orientation val="minMax"/>
        </scaling>
        <delete val="0"/>
        <axPos val="l"/>
        <majorGridlines>
          <spPr>
            <a:ln xmlns:a="http://schemas.openxmlformats.org/drawingml/2006/main" w="6120">
              <a:solidFill>
                <a:srgbClr val="e5e0ee"/>
              </a:solidFill>
              <a:prstDash val="solid"/>
              <a:round/>
            </a:ln>
          </spPr>
        </majorGridlines>
        <numFmt formatCode="#,##0;\-#,##0;\–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39437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Kundenbasis 2025 (aktive Accounts zum Monatsende)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Daten!D5</f>
              <strCache>
                <ptCount val="1"/>
                <pt idx="0">
                  <v>Kunden</v>
                </pt>
              </strCache>
            </strRef>
          </tx>
          <spPr>
            <a:solidFill xmlns:a="http://schemas.openxmlformats.org/drawingml/2006/main">
              <a:srgbClr val="6b46c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Daten!$B$6:$B$17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Daten!$D$6:$D$17</f>
              <numCache>
                <formatCode>#,##0;\-#,##0;\–</formatCode>
                <ptCount val="12"/>
                <pt idx="0">
                  <v>38</v>
                </pt>
                <pt idx="1">
                  <v>40</v>
                </pt>
                <pt idx="2">
                  <v>42</v>
                </pt>
                <pt idx="3">
                  <v>44</v>
                </pt>
                <pt idx="4">
                  <v>46</v>
                </pt>
                <pt idx="5">
                  <v>49</v>
                </pt>
                <pt idx="6">
                  <v>51</v>
                </pt>
                <pt idx="7">
                  <v>54</v>
                </pt>
                <pt idx="8">
                  <v>57</v>
                </pt>
                <pt idx="9">
                  <v>60</v>
                </pt>
                <pt idx="10">
                  <v>63</v>
                </pt>
                <pt idx="11">
                  <v>66</v>
                </pt>
              </numCache>
            </numRef>
          </val>
        </ser>
        <gapWidth val="45"/>
        <overlap val="0"/>
        <axId val="24695210"/>
        <axId val="83116613"/>
      </barChart>
      <catAx>
        <axId val="246952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116613"/>
        <crosses val="autoZero"/>
        <auto val="1"/>
        <lblAlgn val="ctr"/>
        <lblOffset val="100"/>
        <noMultiLvlLbl val="0"/>
      </catAx>
      <valAx>
        <axId val="83116613"/>
        <scaling>
          <orientation val="minMax"/>
        </scaling>
        <delete val="0"/>
        <axPos val="l"/>
        <majorGridlines>
          <spPr>
            <a:ln xmlns:a="http://schemas.openxmlformats.org/drawingml/2006/main" w="6120">
              <a:solidFill>
                <a:srgbClr val="e5e0ee"/>
              </a:solidFill>
              <a:prstDash val="solid"/>
              <a:round/>
            </a:ln>
          </spPr>
        </majorGridlines>
        <numFmt formatCode="#,##0;\-#,##0;\–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46952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Sales-Funnel nach Quartal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Daten!G5</f>
              <strCache>
                <ptCount val="1"/>
                <pt idx="0">
                  <v>Leads</v>
                </pt>
              </strCache>
            </strRef>
          </tx>
          <spPr>
            <a:solidFill xmlns:a="http://schemas.openxmlformats.org/drawingml/2006/main">
              <a:srgbClr val="4c2e8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Daten!$F$6:$F$9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Daten!$G$6:$G$9</f>
              <numCache>
                <formatCode>#,##0;\-#,##0;\–</formatCode>
                <ptCount val="4"/>
                <pt idx="0">
                  <v>384</v>
                </pt>
                <pt idx="1">
                  <v>432</v>
                </pt>
                <pt idx="2">
                  <v>456</v>
                </pt>
                <pt idx="3">
                  <v>504</v>
                </pt>
              </numCache>
            </numRef>
          </val>
        </ser>
        <ser>
          <idx val="1"/>
          <order val="1"/>
          <tx>
            <strRef>
              <f>Daten!H5</f>
              <strCache>
                <ptCount val="1"/>
                <pt idx="0">
                  <v>MQL</v>
                </pt>
              </strCache>
            </strRef>
          </tx>
          <spPr>
            <a:solidFill xmlns:a="http://schemas.openxmlformats.org/drawingml/2006/main">
              <a:srgbClr val="6b46c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Daten!$F$6:$F$9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Daten!$H$6:$H$9</f>
              <numCache>
                <formatCode>#,##0;\-#,##0;\–</formatCode>
                <ptCount val="4"/>
                <pt idx="0">
                  <v>108</v>
                </pt>
                <pt idx="1">
                  <v>126</v>
                </pt>
                <pt idx="2">
                  <v>132</v>
                </pt>
                <pt idx="3">
                  <v>150</v>
                </pt>
              </numCache>
            </numRef>
          </val>
        </ser>
        <ser>
          <idx val="2"/>
          <order val="2"/>
          <tx>
            <strRef>
              <f>Daten!I5</f>
              <strCache>
                <ptCount val="1"/>
                <pt idx="0">
                  <v>SQL</v>
                </pt>
              </strCache>
            </strRef>
          </tx>
          <spPr>
            <a:solidFill xmlns:a="http://schemas.openxmlformats.org/drawingml/2006/main">
              <a:srgbClr val="a98be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Daten!$F$6:$F$9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Daten!$I$6:$I$9</f>
              <numCache>
                <formatCode>#,##0;\-#,##0;\–</formatCode>
                <ptCount val="4"/>
                <pt idx="0">
                  <v>40</v>
                </pt>
                <pt idx="1">
                  <v>47</v>
                </pt>
                <pt idx="2">
                  <v>50</v>
                </pt>
                <pt idx="3">
                  <v>55</v>
                </pt>
              </numCache>
            </numRef>
          </val>
        </ser>
        <ser>
          <idx val="3"/>
          <order val="3"/>
          <tx>
            <strRef>
              <f>Daten!J5</f>
              <strCache>
                <ptCount val="1"/>
                <pt idx="0">
                  <v>Angebote</v>
                </pt>
              </strCache>
            </strRef>
          </tx>
          <spPr>
            <a:solidFill xmlns:a="http://schemas.openxmlformats.org/drawingml/2006/main">
              <a:srgbClr val="e24a4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Daten!$F$6:$F$9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Daten!$J$6:$J$9</f>
              <numCache>
                <formatCode>#,##0;\-#,##0;\–</formatCode>
                <ptCount val="4"/>
                <pt idx="0">
                  <v>23</v>
                </pt>
                <pt idx="1">
                  <v>26</v>
                </pt>
                <pt idx="2">
                  <v>28</v>
                </pt>
                <pt idx="3">
                  <v>31</v>
                </pt>
              </numCache>
            </numRef>
          </val>
        </ser>
        <gapWidth val="60"/>
        <overlap val="0"/>
        <axId val="27178768"/>
        <axId val="30089085"/>
      </barChart>
      <catAx>
        <axId val="271787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0089085"/>
        <crosses val="autoZero"/>
        <auto val="1"/>
        <lblAlgn val="ctr"/>
        <lblOffset val="100"/>
        <noMultiLvlLbl val="0"/>
      </catAx>
      <valAx>
        <axId val="30089085"/>
        <scaling>
          <orientation val="minMax"/>
        </scaling>
        <delete val="0"/>
        <axPos val="l"/>
        <majorGridlines>
          <spPr>
            <a:ln xmlns:a="http://schemas.openxmlformats.org/drawingml/2006/main" w="6120">
              <a:solidFill>
                <a:srgbClr val="e5e0ee"/>
              </a:solidFill>
              <a:prstDash val="solid"/>
              <a:round/>
            </a:ln>
          </spPr>
        </majorGridlines>
        <numFmt formatCode="#,##0;\-#,##0;\–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717876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16</row>
      <rowOff>0</rowOff>
    </from>
    <to>
      <col>4</col>
      <colOff>95040</colOff>
      <row>29</row>
      <rowOff>187200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16</row>
      <rowOff>0</rowOff>
    </from>
    <to>
      <col>8</col>
      <colOff>95040</colOff>
      <row>29</row>
      <rowOff>187200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32</row>
      <rowOff>0</rowOff>
    </from>
    <to>
      <col>7</col>
      <colOff>478440</colOff>
      <row>45</row>
      <rowOff>187200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4C2E8E"/>
    <outlinePr summaryBelow="1" summaryRight="1"/>
    <pageSetUpPr fitToPage="1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30" customWidth="1" style="118" min="2" max="2"/>
    <col width="60" customWidth="1" style="118" min="3" max="3"/>
  </cols>
  <sheetData>
    <row r="2" ht="39.75" customHeight="1" s="119">
      <c r="B2" s="120" t="n"/>
      <c r="C2" s="120" t="n"/>
    </row>
    <row r="3" ht="15" customHeight="1" s="119">
      <c r="B3" s="120" t="n"/>
      <c r="C3" s="120" t="n"/>
    </row>
    <row r="4" ht="15" customHeight="1" s="119">
      <c r="B4" s="120" t="n"/>
      <c r="C4" s="120" t="n"/>
    </row>
    <row r="5" ht="15" customHeight="1" s="119">
      <c r="B5" s="120" t="n"/>
      <c r="C5" s="120" t="n"/>
    </row>
    <row r="6" ht="45.75" customHeight="1" s="119">
      <c r="B6" s="121" t="inlineStr">
        <is>
          <t>LeadPilot GmbH</t>
        </is>
      </c>
      <c r="C6" s="120" t="n"/>
    </row>
    <row r="7" ht="15" customHeight="1" s="119">
      <c r="B7" s="120" t="n"/>
      <c r="C7" s="120" t="n"/>
    </row>
    <row r="8" ht="25.5" customHeight="1" s="119">
      <c r="B8" s="122" t="inlineStr">
        <is>
          <t>Geschäftsbericht 2025</t>
        </is>
      </c>
      <c r="C8" s="120" t="n"/>
    </row>
    <row r="9" ht="15" customHeight="1" s="119">
      <c r="B9" s="120" t="n"/>
      <c r="C9" s="120" t="n"/>
    </row>
    <row r="10" ht="15" customHeight="1" s="119">
      <c r="B10" s="123" t="inlineStr">
        <is>
          <t>Kein Lead bleibt zurück.</t>
        </is>
      </c>
      <c r="C10" s="120" t="n"/>
    </row>
    <row r="11" ht="15" customHeight="1" s="119">
      <c r="B11" s="120" t="n"/>
      <c r="C11" s="120" t="n"/>
    </row>
    <row r="12" ht="15" customHeight="1" s="119">
      <c r="B12" s="120" t="n"/>
      <c r="C12" s="120" t="n"/>
    </row>
    <row r="13" ht="15" customHeight="1" s="119">
      <c r="B13" s="120" t="n"/>
      <c r="C13" s="120" t="n"/>
    </row>
    <row r="16" ht="18" customHeight="1" s="119">
      <c r="B16" s="124" t="inlineStr">
        <is>
          <t>Unternehmen</t>
        </is>
      </c>
      <c r="C16" s="125" t="inlineStr">
        <is>
          <t>LeadPilot GmbH</t>
        </is>
      </c>
    </row>
    <row r="17" ht="18" customHeight="1" s="119">
      <c r="B17" s="126" t="inlineStr">
        <is>
          <t>Rechtsform</t>
        </is>
      </c>
      <c r="C17" s="127" t="inlineStr">
        <is>
          <t>GmbH, Amtsgericht Leipzig</t>
        </is>
      </c>
    </row>
    <row r="18" ht="18" customHeight="1" s="119">
      <c r="B18" s="124" t="inlineStr">
        <is>
          <t>Gegründet</t>
        </is>
      </c>
      <c r="C18" s="125" t="inlineStr">
        <is>
          <t>21. Juli 2022 · Produkt-Launch Q1 2024</t>
        </is>
      </c>
    </row>
    <row r="19" ht="18" customHeight="1" s="119">
      <c r="B19" s="126" t="inlineStr">
        <is>
          <t>Sitz</t>
        </is>
      </c>
      <c r="C19" s="127" t="inlineStr">
        <is>
          <t>Augustusplatz 9, 04109 Leipzig (angemietet, Mietvertrag v. 15.08.2022 – 31.08.2027)</t>
        </is>
      </c>
    </row>
    <row r="20" ht="18" customHeight="1" s="119">
      <c r="B20" s="124" t="inlineStr">
        <is>
          <t>Geschäftsführung</t>
        </is>
      </c>
      <c r="C20" s="125" t="inlineStr">
        <is>
          <t>Marc Pönisch (CEO), Tobias Heine (CTO)</t>
        </is>
      </c>
    </row>
    <row r="21" ht="18" customHeight="1" s="119">
      <c r="B21" s="126" t="inlineStr">
        <is>
          <t>Branche</t>
        </is>
      </c>
      <c r="C21" s="127" t="inlineStr">
        <is>
          <t>B2B SaaS – Lead-Management &amp; Vertriebsautomatisierung</t>
        </is>
      </c>
    </row>
    <row r="22" ht="18" customHeight="1" s="119">
      <c r="B22" s="124" t="inlineStr">
        <is>
          <t>Berichtszeitraum</t>
        </is>
      </c>
      <c r="C22" s="125" t="inlineStr">
        <is>
          <t>01. Januar 2025 – 31. Dezember 2025</t>
        </is>
      </c>
    </row>
    <row r="23" ht="18" customHeight="1" s="119">
      <c r="B23" s="126" t="inlineStr">
        <is>
          <t>Berichtswährung</t>
        </is>
      </c>
      <c r="C23" s="127" t="inlineStr">
        <is>
          <t>Euro (€)</t>
        </is>
      </c>
    </row>
    <row r="24" ht="18" customHeight="1" s="119">
      <c r="B24" s="124" t="inlineStr">
        <is>
          <t>Mitarbeitende</t>
        </is>
      </c>
      <c r="C24" s="125" t="inlineStr">
        <is>
          <t>10 FTE zum 31.12.2025</t>
        </is>
      </c>
    </row>
    <row r="25" ht="18" customHeight="1" s="119">
      <c r="B25" s="126" t="inlineStr">
        <is>
          <t>Finanzierungsstand</t>
        </is>
      </c>
      <c r="C25" s="127" t="inlineStr">
        <is>
          <t>Seed-Runde, 950.000 € (TGFS Sachsen, HTGF)</t>
        </is>
      </c>
    </row>
    <row r="26" ht="18" customHeight="1" s="119">
      <c r="B26" s="124" t="inlineStr">
        <is>
          <t>Erstellt von</t>
        </is>
      </c>
      <c r="C26" s="125" t="inlineStr">
        <is>
          <t>Unternehmensleitung LeadPilot GmbH</t>
        </is>
      </c>
    </row>
    <row r="27" ht="18" customHeight="1" s="119">
      <c r="B27" s="126" t="inlineStr">
        <is>
          <t>Version</t>
        </is>
      </c>
      <c r="C27" s="127" t="inlineStr">
        <is>
          <t>2.0 – auf Basis Faktenblatt v1.1</t>
        </is>
      </c>
    </row>
    <row r="29" ht="48" customHeight="1" s="119">
      <c r="B29" s="128" t="inlineStr">
        <is>
          <t>HINWEIS  LeadPilot ist ein fiktives Schulungsunternehmen, erstellt im Rahmen der Weiterbildung zum Digital Sales Manager (DBA). Alle Zahlen sind exemplarisch und orientieren sich an realen Marktbedingungen vergleichbarer deutscher B2B-SaaS-Unternehmen in der Seed-Phase. Verbindliche Datenbasis: LeadPilot Faktenblatt v1.1.</t>
        </is>
      </c>
    </row>
  </sheetData>
  <mergeCells count="1">
    <mergeCell ref="B29:C29"/>
  </mergeCells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I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21" customWidth="1" style="118" min="2" max="9"/>
  </cols>
  <sheetData>
    <row r="2" ht="31.5" customHeight="1" s="119">
      <c r="B2" s="129" t="inlineStr">
        <is>
          <t>Unternehmensdashboard 2025</t>
        </is>
      </c>
    </row>
    <row r="3" ht="15" customHeight="1" s="119">
      <c r="B3" s="130" t="inlineStr">
        <is>
          <t>LeadPilot GmbH · Stand 31.12.2025 · alle Werte aus dem Faktenblatt v1.1 abgeleitet</t>
        </is>
      </c>
    </row>
    <row r="5" ht="24" customHeight="1" s="119">
      <c r="B5" s="131" t="inlineStr">
        <is>
          <t>KERNKENNZAHLEN GESCHÄFTSJAHR 2025</t>
        </is>
      </c>
      <c r="C5" s="132" t="n"/>
      <c r="D5" s="132" t="n"/>
      <c r="E5" s="132" t="n"/>
      <c r="F5" s="132" t="n"/>
      <c r="G5" s="132" t="n"/>
      <c r="H5" s="132" t="n"/>
      <c r="I5" s="132" t="n"/>
    </row>
    <row r="7" ht="15" customHeight="1" s="119">
      <c r="B7" s="133" t="inlineStr">
        <is>
          <t>ARR ZUM 31.12.2025</t>
        </is>
      </c>
      <c r="D7" s="133" t="inlineStr">
        <is>
          <t>MRR DEZEMBER 2025</t>
        </is>
      </c>
      <c r="F7" s="133" t="inlineStr">
        <is>
          <t>AKTIVE KUNDEN</t>
        </is>
      </c>
      <c r="H7" s="133" t="inlineStr">
        <is>
          <t>ACCOUNT-CHURN / MONAT</t>
        </is>
      </c>
    </row>
    <row r="8" ht="25.5" customHeight="1" s="119">
      <c r="B8" s="134" t="n">
        <v>411840</v>
      </c>
      <c r="D8" s="134" t="n">
        <v>34320</v>
      </c>
      <c r="F8" s="135" t="n">
        <v>66</v>
      </c>
      <c r="H8" s="136" t="n">
        <v>0.028</v>
      </c>
    </row>
    <row r="9" ht="15" customHeight="1" s="119">
      <c r="B9" s="137" t="inlineStr">
        <is>
          <t>+98 % gegenüber Vorjahr</t>
        </is>
      </c>
      <c r="D9" s="137" t="inlineStr">
        <is>
          <t>+98 % gegenüber Vorjahr</t>
        </is>
      </c>
      <c r="F9" s="137" t="inlineStr">
        <is>
          <t>47 gewonnen, 17 verloren</t>
        </is>
      </c>
      <c r="H9" s="138" t="inlineStr">
        <is>
          <t>Ziel &lt; 2,0 % verfehlt</t>
        </is>
      </c>
    </row>
    <row r="11" ht="15" customHeight="1" s="119">
      <c r="B11" s="133" t="inlineStr">
        <is>
          <t>NET PROMOTER SCORE</t>
        </is>
      </c>
      <c r="D11" s="133" t="inlineStr">
        <is>
          <t>BURN RATE / MONAT</t>
        </is>
      </c>
      <c r="F11" s="133" t="inlineStr">
        <is>
          <t>RUNWAY</t>
        </is>
      </c>
      <c r="H11" s="133" t="inlineStr">
        <is>
          <t>LTV : CAC</t>
        </is>
      </c>
    </row>
    <row r="12" ht="25.5" customHeight="1" s="119">
      <c r="B12" s="135" t="n">
        <v>34</v>
      </c>
      <c r="D12" s="134" t="n">
        <v>25750</v>
      </c>
      <c r="F12" s="135" t="n">
        <v>14</v>
      </c>
      <c r="H12" s="139" t="n">
        <v>2.7</v>
      </c>
    </row>
    <row r="13" ht="15" customHeight="1" s="119">
      <c r="B13" s="138" t="inlineStr">
        <is>
          <t>Ziel 40 verfehlt</t>
        </is>
      </c>
      <c r="D13" s="138" t="inlineStr">
        <is>
          <t>Ziel 22.000 € verfehlt</t>
        </is>
      </c>
      <c r="F13" s="140" t="inlineStr">
        <is>
          <t>in Monaten, Ziel 18</t>
        </is>
      </c>
      <c r="H13" s="138" t="inlineStr">
        <is>
          <t>Benchmark 3,0 : 1 verfehlt</t>
        </is>
      </c>
    </row>
    <row r="15" ht="24" customHeight="1" s="119">
      <c r="B15" s="131" t="inlineStr">
        <is>
          <t>ENTWICKLUNG IM JAHRESVERLAUF</t>
        </is>
      </c>
      <c r="C15" s="132" t="n"/>
      <c r="D15" s="132" t="n"/>
      <c r="E15" s="132" t="n"/>
      <c r="F15" s="132" t="n"/>
      <c r="G15" s="132" t="n"/>
      <c r="H15" s="132" t="n"/>
      <c r="I15" s="132" t="n"/>
    </row>
    <row r="49" ht="24" customHeight="1" s="119">
      <c r="B49" s="131" t="inlineStr">
        <is>
          <t>ZIELERREICHUNG 2025</t>
        </is>
      </c>
      <c r="C49" s="132" t="n"/>
      <c r="D49" s="132" t="n"/>
      <c r="E49" s="132" t="n"/>
      <c r="F49" s="132" t="n"/>
      <c r="G49" s="132" t="n"/>
      <c r="H49" s="132" t="n"/>
      <c r="I49" s="132" t="n"/>
    </row>
    <row r="50" ht="21.75" customHeight="1" s="119">
      <c r="B50" s="141" t="inlineStr">
        <is>
          <t>Kennzahl</t>
        </is>
      </c>
      <c r="C50" s="142" t="inlineStr">
        <is>
          <t>Ziel 2025</t>
        </is>
      </c>
      <c r="D50" s="142" t="inlineStr">
        <is>
          <t>Ist 2025</t>
        </is>
      </c>
      <c r="E50" s="142" t="inlineStr">
        <is>
          <t>Ist 2024</t>
        </is>
      </c>
      <c r="F50" s="143" t="inlineStr">
        <is>
          <t>Bewertung</t>
        </is>
      </c>
      <c r="G50" s="141" t="inlineStr">
        <is>
          <t>Kommentar</t>
        </is>
      </c>
      <c r="H50" s="141" t="n"/>
      <c r="I50" s="141" t="n"/>
    </row>
    <row r="51" ht="18" customHeight="1" s="119">
      <c r="B51" s="127" t="inlineStr">
        <is>
          <t>ARR</t>
        </is>
      </c>
      <c r="C51" s="144" t="n">
        <v>480000</v>
      </c>
      <c r="D51" s="145" t="n">
        <v>411840</v>
      </c>
      <c r="E51" s="144" t="n">
        <v>207792</v>
      </c>
      <c r="F51" s="146" t="inlineStr">
        <is>
          <t>verfehlt</t>
        </is>
      </c>
      <c r="G51" s="147" t="inlineStr">
        <is>
          <t>Wachstum stark, Zielwert dennoch verfehlt</t>
        </is>
      </c>
    </row>
    <row r="52" ht="18" customHeight="1" s="119">
      <c r="B52" s="125" t="inlineStr">
        <is>
          <t>Bruttomarge</t>
        </is>
      </c>
      <c r="C52" s="148" t="n">
        <v>0.68</v>
      </c>
      <c r="D52" s="149" t="n">
        <v>0.64</v>
      </c>
      <c r="E52" s="148" t="n">
        <v>0.61</v>
      </c>
      <c r="F52" s="150" t="inlineStr">
        <is>
          <t>knapp verfehlt</t>
        </is>
      </c>
      <c r="G52" s="151" t="inlineStr">
        <is>
          <t>KI-API-Kosten und CS-Aufwand belasten</t>
        </is>
      </c>
    </row>
    <row r="53" ht="18" customHeight="1" s="119">
      <c r="B53" s="127" t="inlineStr">
        <is>
          <t>Net Revenue Retention</t>
        </is>
      </c>
      <c r="C53" s="152" t="n">
        <v>1.05</v>
      </c>
      <c r="D53" s="153" t="n">
        <v>1.01</v>
      </c>
      <c r="E53" s="152" t="n"/>
      <c r="F53" s="154" t="inlineStr">
        <is>
          <t>knapp verfehlt</t>
        </is>
      </c>
      <c r="G53" s="147" t="inlineStr">
        <is>
          <t>Expansion gleicht Churn knapp aus</t>
        </is>
      </c>
    </row>
    <row r="54" ht="18" customHeight="1" s="119">
      <c r="B54" s="125" t="inlineStr">
        <is>
          <t>Gross Revenue Retention</t>
        </is>
      </c>
      <c r="C54" s="148" t="n">
        <v>0.92</v>
      </c>
      <c r="D54" s="149" t="n">
        <v>0.88</v>
      </c>
      <c r="E54" s="148" t="n"/>
      <c r="F54" s="150" t="inlineStr">
        <is>
          <t>knapp verfehlt</t>
        </is>
      </c>
      <c r="G54" s="151" t="inlineStr">
        <is>
          <t>Umsatzverlust konzentriert auf Kleinstkunden</t>
        </is>
      </c>
    </row>
    <row r="55" ht="18" customHeight="1" s="119">
      <c r="B55" s="127" t="inlineStr">
        <is>
          <t>Account-Churn pro Monat</t>
        </is>
      </c>
      <c r="C55" s="152" t="n">
        <v>0.02</v>
      </c>
      <c r="D55" s="153" t="n">
        <v>0.028</v>
      </c>
      <c r="E55" s="152" t="n">
        <v>0.024</v>
      </c>
      <c r="F55" s="146" t="inlineStr">
        <is>
          <t>verfehlt</t>
        </is>
      </c>
      <c r="G55" s="147" t="inlineStr">
        <is>
          <t>Zentrales Problem des Geschäftsjahres</t>
        </is>
      </c>
    </row>
    <row r="56" ht="18" customHeight="1" s="119">
      <c r="B56" s="125" t="inlineStr">
        <is>
          <t>Trial-to-Paid</t>
        </is>
      </c>
      <c r="C56" s="148" t="n">
        <v>0.25</v>
      </c>
      <c r="D56" s="149" t="n">
        <v>0.18</v>
      </c>
      <c r="E56" s="148" t="n">
        <v>0.21</v>
      </c>
      <c r="F56" s="155" t="inlineStr">
        <is>
          <t>verfehlt</t>
        </is>
      </c>
      <c r="G56" s="151" t="inlineStr">
        <is>
          <t>Kein geführter Trial-Flow vorhanden</t>
        </is>
      </c>
    </row>
    <row r="57" ht="18" customHeight="1" s="119">
      <c r="B57" s="127" t="inlineStr">
        <is>
          <t>Marketing-CAC</t>
        </is>
      </c>
      <c r="C57" s="144" t="n">
        <v>700</v>
      </c>
      <c r="D57" s="145" t="n">
        <v>860</v>
      </c>
      <c r="E57" s="144" t="n">
        <v>720</v>
      </c>
      <c r="F57" s="146" t="inlineStr">
        <is>
          <t>verfehlt</t>
        </is>
      </c>
      <c r="G57" s="147" t="inlineStr">
        <is>
          <t>LinkedIn-Ads weniger effizient als geplant</t>
        </is>
      </c>
    </row>
    <row r="58" ht="18" customHeight="1" s="119">
      <c r="B58" s="125" t="inlineStr">
        <is>
          <t>CAC-Payback (fully loaded)</t>
        </is>
      </c>
      <c r="C58" s="156" t="n">
        <v>10</v>
      </c>
      <c r="D58" s="157" t="n">
        <v>13</v>
      </c>
      <c r="E58" s="156" t="n"/>
      <c r="F58" s="155" t="inlineStr">
        <is>
          <t>verfehlt</t>
        </is>
      </c>
      <c r="G58" s="151" t="inlineStr">
        <is>
          <t>In Monaten</t>
        </is>
      </c>
    </row>
    <row r="59" ht="18" customHeight="1" s="119">
      <c r="B59" s="127" t="inlineStr">
        <is>
          <t>Net Promoter Score</t>
        </is>
      </c>
      <c r="C59" s="158" t="n">
        <v>40</v>
      </c>
      <c r="D59" s="159" t="n">
        <v>34</v>
      </c>
      <c r="E59" s="158" t="n">
        <v>31</v>
      </c>
      <c r="F59" s="146" t="inlineStr">
        <is>
          <t>verfehlt</t>
        </is>
      </c>
      <c r="G59" s="147" t="inlineStr">
        <is>
          <t>Support-Lösungszeiten und Onboarding</t>
        </is>
      </c>
    </row>
    <row r="60" ht="18" customHeight="1" s="119">
      <c r="B60" s="125" t="inlineStr">
        <is>
          <t>Burn Rate pro Monat</t>
        </is>
      </c>
      <c r="C60" s="160" t="n">
        <v>22000</v>
      </c>
      <c r="D60" s="161" t="n">
        <v>25750</v>
      </c>
      <c r="E60" s="160" t="n">
        <v>24000</v>
      </c>
      <c r="F60" s="155" t="inlineStr">
        <is>
          <t>verfehlt</t>
        </is>
      </c>
      <c r="G60" s="151" t="inlineStr">
        <is>
          <t>Über Plan, Runway verkürzt</t>
        </is>
      </c>
    </row>
    <row r="61" ht="18" customHeight="1" s="119">
      <c r="B61" s="127" t="inlineStr">
        <is>
          <t>Runway ab Stichtag</t>
        </is>
      </c>
      <c r="C61" s="158" t="n">
        <v>18</v>
      </c>
      <c r="D61" s="159" t="n">
        <v>14</v>
      </c>
      <c r="E61" s="158" t="n">
        <v>29</v>
      </c>
      <c r="F61" s="154" t="inlineStr">
        <is>
          <t>knapp verfehlt</t>
        </is>
      </c>
      <c r="G61" s="147" t="inlineStr">
        <is>
          <t>In Monaten – Anschlussfinanzierung ab Q3 2026</t>
        </is>
      </c>
    </row>
    <row r="62" ht="18" customHeight="1" s="119">
      <c r="B62" s="125" t="inlineStr">
        <is>
          <t>Uptime</t>
        </is>
      </c>
      <c r="C62" s="148" t="n">
        <v>0.995</v>
      </c>
      <c r="D62" s="149" t="n">
        <v>0.997</v>
      </c>
      <c r="E62" s="148" t="n"/>
      <c r="F62" s="162" t="inlineStr">
        <is>
          <t>erreicht</t>
        </is>
      </c>
      <c r="G62" s="151" t="inlineStr">
        <is>
          <t>Einziges klar übertroffenes technisches Ziel</t>
        </is>
      </c>
    </row>
    <row r="64" ht="45.75" customHeight="1" s="119">
      <c r="B64" s="163" t="inlineStr">
        <is>
          <t>KERNBEFUND  Das Wachstum stimmt – der ARR hat sich beinahe verdoppelt. Der Engpass liegt in der Kundenbindung: 17 Kündigungen bei durchschnittlich 130 € MRR gegenüber 520 € im Gesamtdurchschnitt. Es kündigen fast ausschließlich Kleinstkunden, die das Ideal Customer Profile ausdrücklich als Negative-Fit ausweist. Der Churn ist damit ein Zielkunden-Problem, kein Produktproblem.</t>
        </is>
      </c>
    </row>
  </sheetData>
  <mergeCells count="37">
    <mergeCell ref="F11:G11"/>
    <mergeCell ref="B7:C7"/>
    <mergeCell ref="G57:I57"/>
    <mergeCell ref="G53:I53"/>
    <mergeCell ref="G62:I62"/>
    <mergeCell ref="H9:I9"/>
    <mergeCell ref="F7:G7"/>
    <mergeCell ref="B12:C12"/>
    <mergeCell ref="G58:I58"/>
    <mergeCell ref="F12:G12"/>
    <mergeCell ref="B11:C11"/>
    <mergeCell ref="D11:E11"/>
    <mergeCell ref="D13:E13"/>
    <mergeCell ref="G55:I55"/>
    <mergeCell ref="B8:C8"/>
    <mergeCell ref="G51:I51"/>
    <mergeCell ref="F8:G8"/>
    <mergeCell ref="B13:C13"/>
    <mergeCell ref="H11:I11"/>
    <mergeCell ref="G54:I54"/>
    <mergeCell ref="D7:E7"/>
    <mergeCell ref="G60:I60"/>
    <mergeCell ref="H7:I7"/>
    <mergeCell ref="G56:I56"/>
    <mergeCell ref="F13:G13"/>
    <mergeCell ref="B9:C9"/>
    <mergeCell ref="G52:I52"/>
    <mergeCell ref="D9:E9"/>
    <mergeCell ref="H13:I13"/>
    <mergeCell ref="G59:I59"/>
    <mergeCell ref="F9:G9"/>
    <mergeCell ref="D12:E12"/>
    <mergeCell ref="D8:E8"/>
    <mergeCell ref="H12:I12"/>
    <mergeCell ref="B64:I64"/>
    <mergeCell ref="G61:I61"/>
    <mergeCell ref="H8:I8"/>
  </mergeCells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K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12" customWidth="1" style="118" min="2" max="2"/>
    <col width="14" customWidth="1" style="118" min="3" max="3"/>
    <col width="12" customWidth="1" style="118" min="4" max="4"/>
    <col width="14" customWidth="1" style="118" min="5" max="6"/>
    <col width="12" customWidth="1" style="118" min="7" max="11"/>
  </cols>
  <sheetData>
    <row r="2" ht="26.8" customHeight="1" s="119">
      <c r="B2" s="129" t="inlineStr">
        <is>
          <t>Datenbasis für Diagramme</t>
        </is>
      </c>
    </row>
    <row r="3" ht="15" customHeight="1" s="119">
      <c r="B3" s="130" t="inlineStr">
        <is>
          <t>Quellblatt des Dashboards – nicht für den Ausdruck bestimmt</t>
        </is>
      </c>
    </row>
    <row r="5" ht="21.75" customHeight="1" s="119">
      <c r="B5" s="141" t="inlineStr">
        <is>
          <t>Monat</t>
        </is>
      </c>
      <c r="C5" s="142" t="inlineStr">
        <is>
          <t>MRR (€)</t>
        </is>
      </c>
      <c r="D5" s="142" t="inlineStr">
        <is>
          <t>Kunden</t>
        </is>
      </c>
      <c r="E5" s="141" t="n"/>
      <c r="F5" s="141" t="inlineStr">
        <is>
          <t>Quartal</t>
        </is>
      </c>
      <c r="G5" s="142" t="inlineStr">
        <is>
          <t>Leads</t>
        </is>
      </c>
      <c r="H5" s="142" t="inlineStr">
        <is>
          <t>MQL</t>
        </is>
      </c>
      <c r="I5" s="142" t="inlineStr">
        <is>
          <t>SQL</t>
        </is>
      </c>
      <c r="J5" s="142" t="inlineStr">
        <is>
          <t>Angebote</t>
        </is>
      </c>
      <c r="K5" s="142" t="inlineStr">
        <is>
          <t>Neukunden</t>
        </is>
      </c>
    </row>
    <row r="6" ht="15" customHeight="1" s="119">
      <c r="B6" s="127" t="inlineStr">
        <is>
          <t>Jan</t>
        </is>
      </c>
      <c r="C6" s="164" t="n">
        <v>18346</v>
      </c>
      <c r="D6" s="164" t="n">
        <v>38</v>
      </c>
      <c r="F6" s="127" t="inlineStr">
        <is>
          <t>Q1</t>
        </is>
      </c>
      <c r="G6" s="164" t="n">
        <v>384</v>
      </c>
      <c r="H6" s="164" t="n">
        <v>108</v>
      </c>
      <c r="I6" s="164" t="n">
        <v>40</v>
      </c>
      <c r="J6" s="164" t="n">
        <v>23</v>
      </c>
      <c r="K6" s="164" t="n">
        <v>10</v>
      </c>
    </row>
    <row r="7" ht="15" customHeight="1" s="119">
      <c r="B7" s="127" t="inlineStr">
        <is>
          <t>Feb</t>
        </is>
      </c>
      <c r="C7" s="164" t="n">
        <v>19507</v>
      </c>
      <c r="D7" s="164" t="n">
        <v>40</v>
      </c>
      <c r="F7" s="127" t="inlineStr">
        <is>
          <t>Q2</t>
        </is>
      </c>
      <c r="G7" s="164" t="n">
        <v>432</v>
      </c>
      <c r="H7" s="164" t="n">
        <v>126</v>
      </c>
      <c r="I7" s="164" t="n">
        <v>47</v>
      </c>
      <c r="J7" s="164" t="n">
        <v>26</v>
      </c>
      <c r="K7" s="164" t="n">
        <v>11</v>
      </c>
    </row>
    <row r="8" ht="15" customHeight="1" s="119">
      <c r="B8" s="127" t="inlineStr">
        <is>
          <t>Mär</t>
        </is>
      </c>
      <c r="C8" s="164" t="n">
        <v>20706</v>
      </c>
      <c r="D8" s="164" t="n">
        <v>42</v>
      </c>
      <c r="F8" s="127" t="inlineStr">
        <is>
          <t>Q3</t>
        </is>
      </c>
      <c r="G8" s="164" t="n">
        <v>456</v>
      </c>
      <c r="H8" s="164" t="n">
        <v>132</v>
      </c>
      <c r="I8" s="164" t="n">
        <v>50</v>
      </c>
      <c r="J8" s="164" t="n">
        <v>28</v>
      </c>
      <c r="K8" s="164" t="n">
        <v>12</v>
      </c>
    </row>
    <row r="9" ht="15" customHeight="1" s="119">
      <c r="B9" s="127" t="inlineStr">
        <is>
          <t>Apr</t>
        </is>
      </c>
      <c r="C9" s="164" t="n">
        <v>21824</v>
      </c>
      <c r="D9" s="164" t="n">
        <v>44</v>
      </c>
      <c r="F9" s="127" t="inlineStr">
        <is>
          <t>Q4</t>
        </is>
      </c>
      <c r="G9" s="164" t="n">
        <v>504</v>
      </c>
      <c r="H9" s="164" t="n">
        <v>150</v>
      </c>
      <c r="I9" s="164" t="n">
        <v>55</v>
      </c>
      <c r="J9" s="164" t="n">
        <v>31</v>
      </c>
      <c r="K9" s="164" t="n">
        <v>14</v>
      </c>
    </row>
    <row r="10" ht="15" customHeight="1" s="119">
      <c r="B10" s="127" t="inlineStr">
        <is>
          <t>Mai</t>
        </is>
      </c>
      <c r="C10" s="164" t="n">
        <v>22908</v>
      </c>
      <c r="D10" s="164" t="n">
        <v>46</v>
      </c>
    </row>
    <row r="11" ht="15" customHeight="1" s="119">
      <c r="B11" s="127" t="inlineStr">
        <is>
          <t>Jun</t>
        </is>
      </c>
      <c r="C11" s="164" t="n">
        <v>24549</v>
      </c>
      <c r="D11" s="164" t="n">
        <v>49</v>
      </c>
    </row>
    <row r="12" ht="15" customHeight="1" s="119">
      <c r="B12" s="127" t="inlineStr">
        <is>
          <t>Jul</t>
        </is>
      </c>
      <c r="C12" s="164" t="n">
        <v>25704</v>
      </c>
      <c r="D12" s="164" t="n">
        <v>51</v>
      </c>
    </row>
    <row r="13" ht="15" customHeight="1" s="119">
      <c r="B13" s="127" t="inlineStr">
        <is>
          <t>Aug</t>
        </is>
      </c>
      <c r="C13" s="164" t="n">
        <v>27378</v>
      </c>
      <c r="D13" s="164" t="n">
        <v>54</v>
      </c>
    </row>
    <row r="14" ht="15" customHeight="1" s="119">
      <c r="B14" s="127" t="inlineStr">
        <is>
          <t>Sep</t>
        </is>
      </c>
      <c r="C14" s="164" t="n">
        <v>29070</v>
      </c>
      <c r="D14" s="164" t="n">
        <v>57</v>
      </c>
    </row>
    <row r="15" ht="15" customHeight="1" s="119">
      <c r="B15" s="127" t="inlineStr">
        <is>
          <t>Okt</t>
        </is>
      </c>
      <c r="C15" s="164" t="n">
        <v>30780</v>
      </c>
      <c r="D15" s="164" t="n">
        <v>60</v>
      </c>
    </row>
    <row r="16" ht="15" customHeight="1" s="119">
      <c r="B16" s="127" t="inlineStr">
        <is>
          <t>Nov</t>
        </is>
      </c>
      <c r="C16" s="164" t="n">
        <v>32508</v>
      </c>
      <c r="D16" s="164" t="n">
        <v>63</v>
      </c>
    </row>
    <row r="17" ht="15" customHeight="1" s="119">
      <c r="B17" s="127" t="inlineStr">
        <is>
          <t>Dez</t>
        </is>
      </c>
      <c r="C17" s="164" t="n">
        <v>34320</v>
      </c>
      <c r="D17" s="164" t="n">
        <v>66</v>
      </c>
    </row>
    <row r="20" ht="126.85" customHeight="1" s="119">
      <c r="B20" s="165" t="inlineStr">
        <is>
          <t>MRR = monatlich wiederkehrender Umsatz zum Monatsende. Kunden = aktive zahlende Accounts zum Monatsende. Herleitung: LeadPilot Faktenblatt v1.1, Abschnitt 3 und 4.</t>
        </is>
      </c>
    </row>
  </sheetData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I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40" customWidth="1" style="118" min="2" max="2"/>
    <col width="14" customWidth="1" style="118" min="3" max="6"/>
    <col width="15" customWidth="1" style="118" min="7" max="8"/>
    <col width="11" customWidth="1" style="118" min="9" max="9"/>
  </cols>
  <sheetData>
    <row r="2" ht="30" customHeight="1" s="119">
      <c r="B2" s="129" t="inlineStr">
        <is>
          <t>Finanzen 2025</t>
        </is>
      </c>
    </row>
    <row r="3" ht="15" customHeight="1" s="119">
      <c r="B3" s="130" t="inlineStr">
        <is>
          <t>Zusammenfassung – die vollständige Rechnung liegt im Jahresabschluss 2025</t>
        </is>
      </c>
    </row>
    <row r="5" ht="24" customHeight="1" s="119">
      <c r="B5" s="131" t="inlineStr">
        <is>
          <t>ERGEBNISRECHNUNG (VERKÜRZT)</t>
        </is>
      </c>
      <c r="C5" s="132" t="n"/>
      <c r="D5" s="132" t="n"/>
      <c r="E5" s="132" t="n"/>
      <c r="F5" s="132" t="n"/>
      <c r="G5" s="132" t="n"/>
      <c r="H5" s="132" t="n"/>
      <c r="I5" s="132" t="n"/>
    </row>
    <row r="6" ht="21.75" customHeight="1" s="119">
      <c r="B6" s="141" t="inlineStr">
        <is>
          <t>Position</t>
        </is>
      </c>
      <c r="C6" s="142" t="inlineStr">
        <is>
          <t>Q1</t>
        </is>
      </c>
      <c r="D6" s="142" t="inlineStr">
        <is>
          <t>Q2</t>
        </is>
      </c>
      <c r="E6" s="142" t="inlineStr">
        <is>
          <t>Q3</t>
        </is>
      </c>
      <c r="F6" s="142" t="inlineStr">
        <is>
          <t>Q4</t>
        </is>
      </c>
      <c r="G6" s="142" t="inlineStr">
        <is>
          <t>FY 2025</t>
        </is>
      </c>
      <c r="H6" s="142" t="inlineStr">
        <is>
          <t>FY 2024</t>
        </is>
      </c>
      <c r="I6" s="142" t="inlineStr">
        <is>
          <t>Δ %</t>
        </is>
      </c>
    </row>
    <row r="7" ht="16.5" customHeight="1" s="119">
      <c r="B7" s="127" t="inlineStr">
        <is>
          <t>Abo-Umsatz (wiederkehrend)</t>
        </is>
      </c>
      <c r="C7" s="166" t="n">
        <v>58559</v>
      </c>
      <c r="D7" s="166" t="n">
        <v>69281</v>
      </c>
      <c r="E7" s="166" t="n">
        <v>82152</v>
      </c>
      <c r="F7" s="166" t="n">
        <v>97608</v>
      </c>
      <c r="G7" s="167">
        <f>SUM(C7:F7)</f>
        <v/>
      </c>
      <c r="H7" s="144" t="n">
        <v>149000</v>
      </c>
      <c r="I7" s="168">
        <f>(G7-H7)/ABS(H7)</f>
        <v/>
      </c>
    </row>
    <row r="8" ht="16.5" customHeight="1" s="119">
      <c r="B8" s="127" t="inlineStr">
        <is>
          <t>Onboarding &amp; Setup</t>
        </is>
      </c>
      <c r="C8" s="166" t="n">
        <v>4000</v>
      </c>
      <c r="D8" s="166" t="n">
        <v>5500</v>
      </c>
      <c r="E8" s="166" t="n">
        <v>6500</v>
      </c>
      <c r="F8" s="166" t="n">
        <v>7000</v>
      </c>
      <c r="G8" s="167">
        <f>SUM(C8:F8)</f>
        <v/>
      </c>
      <c r="H8" s="144" t="n">
        <v>12000</v>
      </c>
      <c r="I8" s="168">
        <f>(G8-H8)/ABS(H8)</f>
        <v/>
      </c>
    </row>
    <row r="9" ht="16.5" customHeight="1" s="119">
      <c r="B9" s="127" t="inlineStr">
        <is>
          <t>Sonstige Erlöse</t>
        </is>
      </c>
      <c r="C9" s="166" t="n">
        <v>1000</v>
      </c>
      <c r="D9" s="166" t="n">
        <v>1200</v>
      </c>
      <c r="E9" s="166" t="n">
        <v>1500</v>
      </c>
      <c r="F9" s="166" t="n">
        <v>1700</v>
      </c>
      <c r="G9" s="167">
        <f>SUM(C9:F9)</f>
        <v/>
      </c>
      <c r="H9" s="144" t="n">
        <v>3000</v>
      </c>
      <c r="I9" s="168">
        <f>(G9-H9)/ABS(H9)</f>
        <v/>
      </c>
    </row>
    <row r="10" ht="16.5" customHeight="1" s="119">
      <c r="B10" s="169" t="inlineStr">
        <is>
          <t>Umsatzerlöse</t>
        </is>
      </c>
      <c r="C10" s="170">
        <f>SUM(C7:C9)</f>
        <v/>
      </c>
      <c r="D10" s="170">
        <f>SUM(D7:D9)</f>
        <v/>
      </c>
      <c r="E10" s="170">
        <f>SUM(E7:E9)</f>
        <v/>
      </c>
      <c r="F10" s="170">
        <f>SUM(F7:F9)</f>
        <v/>
      </c>
      <c r="G10" s="170">
        <f>SUM(G7:G9)</f>
        <v/>
      </c>
      <c r="H10" s="170">
        <f>SUM(H7:H9)</f>
        <v/>
      </c>
      <c r="I10" s="171">
        <f>(G10-H10)/ABS(H10)</f>
        <v/>
      </c>
    </row>
    <row r="11" ht="16.5" customHeight="1" s="119">
      <c r="B11" s="127" t="inlineStr">
        <is>
          <t>Umsatzkosten</t>
        </is>
      </c>
      <c r="C11" s="166" t="n">
        <v>-23000</v>
      </c>
      <c r="D11" s="166" t="n">
        <v>-27400</v>
      </c>
      <c r="E11" s="166" t="n">
        <v>-32400</v>
      </c>
      <c r="F11" s="166" t="n">
        <v>-38200</v>
      </c>
      <c r="G11" s="167">
        <f>SUM(C11:F11)</f>
        <v/>
      </c>
      <c r="H11" s="144" t="n">
        <v>-64000</v>
      </c>
      <c r="I11" s="168">
        <f>(G11-H11)/ABS(H11)</f>
        <v/>
      </c>
    </row>
    <row r="12" ht="16.5" customHeight="1" s="119">
      <c r="B12" s="169" t="inlineStr">
        <is>
          <t>Bruttogewinn</t>
        </is>
      </c>
      <c r="C12" s="170">
        <f>C10+C11</f>
        <v/>
      </c>
      <c r="D12" s="170">
        <f>D10+D11</f>
        <v/>
      </c>
      <c r="E12" s="170">
        <f>E10+E11</f>
        <v/>
      </c>
      <c r="F12" s="170">
        <f>F10+F11</f>
        <v/>
      </c>
      <c r="G12" s="170">
        <f>G10+G11</f>
        <v/>
      </c>
      <c r="H12" s="170">
        <f>H10+H11</f>
        <v/>
      </c>
      <c r="I12" s="171">
        <f>(G12-H12)/ABS(H12)</f>
        <v/>
      </c>
    </row>
    <row r="13" ht="16.5" customHeight="1" s="119">
      <c r="B13" s="127" t="inlineStr">
        <is>
          <t>Sales &amp; Marketing</t>
        </is>
      </c>
      <c r="C13" s="166" t="n">
        <v>-47500</v>
      </c>
      <c r="D13" s="166" t="n">
        <v>-50500</v>
      </c>
      <c r="E13" s="166" t="n">
        <v>-53500</v>
      </c>
      <c r="F13" s="166" t="n">
        <v>-57500</v>
      </c>
      <c r="G13" s="167">
        <f>SUM(C13:F13)</f>
        <v/>
      </c>
      <c r="H13" s="144" t="n">
        <v>-141000</v>
      </c>
      <c r="I13" s="168">
        <f>(G13-H13)/ABS(H13)</f>
        <v/>
      </c>
    </row>
    <row r="14" ht="16.5" customHeight="1" s="119">
      <c r="B14" s="127" t="inlineStr">
        <is>
          <t>Forschung &amp; Entwicklung</t>
        </is>
      </c>
      <c r="C14" s="166" t="n">
        <v>-47500</v>
      </c>
      <c r="D14" s="166" t="n">
        <v>-50500</v>
      </c>
      <c r="E14" s="166" t="n">
        <v>-53500</v>
      </c>
      <c r="F14" s="166" t="n">
        <v>-56500</v>
      </c>
      <c r="G14" s="167">
        <f>SUM(C14:F14)</f>
        <v/>
      </c>
      <c r="H14" s="144" t="n">
        <v>-164000</v>
      </c>
      <c r="I14" s="168">
        <f>(G14-H14)/ABS(H14)</f>
        <v/>
      </c>
    </row>
    <row r="15" ht="16.5" customHeight="1" s="119">
      <c r="B15" s="127" t="inlineStr">
        <is>
          <t>General &amp; Administrative</t>
        </is>
      </c>
      <c r="C15" s="166" t="n">
        <v>-25000</v>
      </c>
      <c r="D15" s="166" t="n">
        <v>-26000</v>
      </c>
      <c r="E15" s="166" t="n">
        <v>-27500</v>
      </c>
      <c r="F15" s="166" t="n">
        <v>-28500</v>
      </c>
      <c r="G15" s="167">
        <f>SUM(C15:F15)</f>
        <v/>
      </c>
      <c r="H15" s="144" t="n">
        <v>-83000</v>
      </c>
      <c r="I15" s="168">
        <f>(G15-H15)/ABS(H15)</f>
        <v/>
      </c>
    </row>
    <row r="16" ht="16.5" customHeight="1" s="119">
      <c r="B16" s="169" t="inlineStr">
        <is>
          <t>EBITDA</t>
        </is>
      </c>
      <c r="C16" s="170">
        <f>C12+SUM(C13:C15)</f>
        <v/>
      </c>
      <c r="D16" s="170">
        <f>D12+SUM(D13:D15)</f>
        <v/>
      </c>
      <c r="E16" s="170">
        <f>E12+SUM(E13:E15)</f>
        <v/>
      </c>
      <c r="F16" s="170">
        <f>F12+SUM(F13:F15)</f>
        <v/>
      </c>
      <c r="G16" s="170">
        <f>G12+SUM(G13:G15)</f>
        <v/>
      </c>
      <c r="H16" s="170">
        <f>H12+SUM(H13:H15)</f>
        <v/>
      </c>
      <c r="I16" s="171">
        <f>(G16-H16)/ABS(H16)</f>
        <v/>
      </c>
    </row>
    <row r="17" ht="16.5" customHeight="1" s="119">
      <c r="B17" s="127" t="inlineStr">
        <is>
          <t>Abschreibungen, Finanzergebnis, sonstige Steuern</t>
        </is>
      </c>
      <c r="C17" s="166" t="n">
        <v>-5875</v>
      </c>
      <c r="D17" s="166" t="n">
        <v>-6175</v>
      </c>
      <c r="E17" s="166" t="n">
        <v>-6375</v>
      </c>
      <c r="F17" s="166" t="n">
        <v>-6575</v>
      </c>
      <c r="G17" s="167">
        <f>SUM(C17:F17)</f>
        <v/>
      </c>
      <c r="H17" s="144" t="n">
        <v>-19000</v>
      </c>
      <c r="I17" s="168">
        <f>(G17-H17)/ABS(H17)</f>
        <v/>
      </c>
    </row>
    <row r="18" ht="16.5" customHeight="1" s="119">
      <c r="B18" s="172" t="inlineStr">
        <is>
          <t>Jahresfehlbetrag</t>
        </is>
      </c>
      <c r="C18" s="173">
        <f>C16+C17</f>
        <v/>
      </c>
      <c r="D18" s="173">
        <f>D16+D17</f>
        <v/>
      </c>
      <c r="E18" s="173">
        <f>E16+E17</f>
        <v/>
      </c>
      <c r="F18" s="173">
        <f>F16+F17</f>
        <v/>
      </c>
      <c r="G18" s="173">
        <f>G16+G17</f>
        <v/>
      </c>
      <c r="H18" s="173">
        <f>H16+H17</f>
        <v/>
      </c>
      <c r="I18" s="174">
        <f>(G18-H18)/ABS(H18)</f>
        <v/>
      </c>
    </row>
    <row r="21" ht="24" customHeight="1" s="119">
      <c r="B21" s="131" t="inlineStr">
        <is>
          <t>FINANZIERUNG UND LIQUIDITÄT</t>
        </is>
      </c>
      <c r="C21" s="132" t="n"/>
      <c r="D21" s="132" t="n"/>
      <c r="E21" s="132" t="n"/>
      <c r="F21" s="132" t="n"/>
      <c r="G21" s="132" t="n"/>
      <c r="H21" s="132" t="n"/>
      <c r="I21" s="132" t="n"/>
    </row>
    <row r="22" ht="21.75" customHeight="1" s="119">
      <c r="B22" s="141" t="inlineStr">
        <is>
          <t>Position</t>
        </is>
      </c>
      <c r="C22" s="142" t="inlineStr">
        <is>
          <t>31.12.2025</t>
        </is>
      </c>
      <c r="D22" s="142" t="inlineStr">
        <is>
          <t>31.12.2024</t>
        </is>
      </c>
      <c r="E22" s="141" t="n"/>
      <c r="F22" s="141" t="n"/>
      <c r="G22" s="141" t="inlineStr">
        <is>
          <t>Erläuterung</t>
        </is>
      </c>
      <c r="H22" s="141" t="n"/>
      <c r="I22" s="141" t="n"/>
    </row>
    <row r="23" ht="18" customHeight="1" s="119">
      <c r="B23" s="127" t="inlineStr">
        <is>
          <t>Liquide Mittel</t>
        </is>
      </c>
      <c r="C23" s="145" t="n">
        <v>363000</v>
      </c>
      <c r="D23" s="144" t="n">
        <v>686000</v>
      </c>
      <c r="G23" s="147" t="inlineStr">
        <is>
          <t>Rückgang entspricht dem Jahres-Burn</t>
        </is>
      </c>
    </row>
    <row r="24" ht="18" customHeight="1" s="119">
      <c r="B24" s="125" t="inlineStr">
        <is>
          <t>Eigenkapital</t>
        </is>
      </c>
      <c r="C24" s="161" t="n">
        <v>344000</v>
      </c>
      <c r="D24" s="160" t="n">
        <v>678000</v>
      </c>
      <c r="E24" s="175" t="n"/>
      <c r="F24" s="175" t="n"/>
      <c r="G24" s="151" t="inlineStr">
        <is>
          <t>Stammkapital 31.250 € plus Kapitalrücklage 1.193.750 €</t>
        </is>
      </c>
    </row>
    <row r="25" ht="18" customHeight="1" s="119">
      <c r="B25" s="127" t="inlineStr">
        <is>
          <t>Eigenkapitalquote</t>
        </is>
      </c>
      <c r="C25" s="153" t="n">
        <v>0.718</v>
      </c>
      <c r="D25" s="152" t="n">
        <v>0.886</v>
      </c>
      <c r="G25" s="147" t="inlineStr">
        <is>
          <t>Eigenkapitalfinanziert, kaum Fremdkapital</t>
        </is>
      </c>
    </row>
    <row r="26" ht="18" customHeight="1" s="119">
      <c r="B26" s="125" t="inlineStr">
        <is>
          <t>Verbindlichkeiten gegenüber Kreditinstituten</t>
        </is>
      </c>
      <c r="C26" s="161" t="n">
        <v>18000</v>
      </c>
      <c r="D26" s="160" t="n">
        <v>25000</v>
      </c>
      <c r="E26" s="175" t="n"/>
      <c r="F26" s="175" t="n"/>
      <c r="G26" s="151" t="inlineStr">
        <is>
          <t>SAB-Innovationsdarlehen, planmäßige Tilgung</t>
        </is>
      </c>
    </row>
    <row r="27" ht="18" customHeight="1" s="119">
      <c r="B27" s="127" t="inlineStr">
        <is>
          <t>Burn Rate pro Monat</t>
        </is>
      </c>
      <c r="C27" s="145" t="n">
        <v>25750</v>
      </c>
      <c r="D27" s="144" t="n">
        <v>24000</v>
      </c>
      <c r="G27" s="147" t="inlineStr">
        <is>
          <t>Ziel 2026: unter 23.000 €</t>
        </is>
      </c>
    </row>
    <row r="28" ht="18" customHeight="1" s="119">
      <c r="B28" s="125" t="inlineStr">
        <is>
          <t>Runway ab Stichtag (Monate)</t>
        </is>
      </c>
      <c r="C28" s="157" t="n">
        <v>14</v>
      </c>
      <c r="D28" s="156" t="n">
        <v>29</v>
      </c>
      <c r="E28" s="175" t="n"/>
      <c r="F28" s="175" t="n"/>
      <c r="G28" s="151" t="inlineStr">
        <is>
          <t>Anschlussfinanzierung ab Q3 2026 vorzubereiten</t>
        </is>
      </c>
    </row>
    <row r="31" ht="24" customHeight="1" s="119">
      <c r="B31" s="131" t="inlineStr">
        <is>
          <t>FINANZIERUNGSHISTORIE</t>
        </is>
      </c>
      <c r="C31" s="132" t="n"/>
      <c r="D31" s="132" t="n"/>
      <c r="E31" s="132" t="n"/>
      <c r="F31" s="132" t="n"/>
      <c r="G31" s="132" t="n"/>
      <c r="H31" s="132" t="n"/>
      <c r="I31" s="132" t="n"/>
    </row>
    <row r="32" ht="21.75" customHeight="1" s="119">
      <c r="B32" s="141" t="inlineStr">
        <is>
          <t>Zeitpunkt</t>
        </is>
      </c>
      <c r="C32" s="142" t="inlineStr">
        <is>
          <t>Volumen</t>
        </is>
      </c>
      <c r="D32" s="141" t="n"/>
      <c r="E32" s="141" t="inlineStr">
        <is>
          <t>Ereignis</t>
        </is>
      </c>
      <c r="F32" s="141" t="n"/>
      <c r="G32" s="141" t="n"/>
      <c r="H32" s="141" t="n"/>
      <c r="I32" s="141" t="n"/>
    </row>
    <row r="33" ht="18" customHeight="1" s="119">
      <c r="B33" s="127" t="inlineStr">
        <is>
          <t>07 / 2022</t>
        </is>
      </c>
      <c r="C33" s="145" t="n">
        <v>25000</v>
      </c>
      <c r="E33" s="176" t="inlineStr">
        <is>
          <t>Gründung, Bareinlage der Gesellschafter Pönisch und Heine</t>
        </is>
      </c>
    </row>
    <row r="34" ht="18" customHeight="1" s="119">
      <c r="B34" s="125" t="inlineStr">
        <is>
          <t>05 / 2023</t>
        </is>
      </c>
      <c r="C34" s="161" t="n">
        <v>250000</v>
      </c>
      <c r="D34" s="175" t="n"/>
      <c r="E34" s="177" t="inlineStr">
        <is>
          <t>Wandeldarlehen zweier Business Angels aus dem SaaS-Umfeld</t>
        </is>
      </c>
    </row>
    <row r="35" ht="18" customHeight="1" s="119">
      <c r="B35" s="127" t="inlineStr">
        <is>
          <t>Q1 / 2024</t>
        </is>
      </c>
      <c r="C35" s="145" t="n">
        <v>950000</v>
      </c>
      <c r="E35" s="176" t="inlineStr">
        <is>
          <t>Seed-Runde: Technologiegründerfonds Sachsen (Lead) und High-Tech Gründerfonds; Wandeldarlehen gewandelt</t>
        </is>
      </c>
    </row>
    <row r="36" ht="18" customHeight="1" s="119">
      <c r="B36" s="125" t="inlineStr">
        <is>
          <t>Q1 / 2024</t>
        </is>
      </c>
      <c r="C36" s="161" t="n"/>
      <c r="D36" s="175" t="n"/>
      <c r="E36" s="177" t="inlineStr">
        <is>
          <t>Kapitalerhöhung Stammkapital von 25.000 € auf 31.250 €</t>
        </is>
      </c>
    </row>
    <row r="38" ht="46.25" customHeight="1" s="119">
      <c r="B38" s="165" t="inlineStr">
        <is>
          <t>Der Technologiegründerfonds Sachsen und der High-Tech Gründerfonds investieren real in Unternehmen dieses Profils und dieser Region. Ertragsteuern fallen 2025 nicht an (Verlustjahr); Verlustvorträge rund 880.000 €.</t>
        </is>
      </c>
    </row>
    <row r="40">
      <c r="B40" s="178" t="inlineStr">
        <is>
          <t>Position "General &amp; Administrative" (107.000 €) enthält u. a. Miete/Recht/Buchhaltung/Versicherung (52.000 €): Mietkosten Augustusplatz 9 39.800 € gemäß Gewerberaummietvertrag v. 15.08.2022 mit der Augustusplatz Immobilien Leipzig GmbH &amp; Co. KG, Rechtsberatung 5.000 €, Buchhaltung 5.700 €, Versicherungen 1.500 €. Kaution 8.550 € in den sonstigen Vermögensgegenständen enthalten. Kein Grundbesitz.</t>
        </is>
      </c>
    </row>
  </sheetData>
  <mergeCells count="10">
    <mergeCell ref="G24:I24"/>
    <mergeCell ref="E34:I34"/>
    <mergeCell ref="E35:I35"/>
    <mergeCell ref="G28:I28"/>
    <mergeCell ref="G27:I27"/>
    <mergeCell ref="G23:I23"/>
    <mergeCell ref="E33:I33"/>
    <mergeCell ref="G26:I26"/>
    <mergeCell ref="E36:I36"/>
    <mergeCell ref="G25:I25"/>
  </mergeCells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I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34" customWidth="1" style="118" min="2" max="2"/>
    <col width="14" customWidth="1" style="118" min="3" max="7"/>
    <col width="16" customWidth="1" style="118" min="8" max="8"/>
    <col width="14" customWidth="1" style="118" min="9" max="9"/>
  </cols>
  <sheetData>
    <row r="2" ht="30" customHeight="1" s="119">
      <c r="B2" s="129" t="inlineStr">
        <is>
          <t>Kunden und Vertrieb 2025</t>
        </is>
      </c>
    </row>
    <row r="3" ht="15" customHeight="1" s="119">
      <c r="B3" s="130" t="inlineStr">
        <is>
          <t>Kundenbasis, wiederkehrender Umsatz, Funnel und Kanäle</t>
        </is>
      </c>
    </row>
    <row r="5" ht="24" customHeight="1" s="119">
      <c r="B5" s="131" t="inlineStr">
        <is>
          <t>KUNDENBASIS</t>
        </is>
      </c>
      <c r="C5" s="132" t="n"/>
      <c r="D5" s="132" t="n"/>
      <c r="E5" s="132" t="n"/>
      <c r="F5" s="132" t="n"/>
      <c r="G5" s="132" t="n"/>
      <c r="H5" s="132" t="n"/>
      <c r="I5" s="132" t="n"/>
    </row>
    <row r="6" ht="21.75" customHeight="1" s="119">
      <c r="B6" s="141" t="inlineStr">
        <is>
          <t>Kennzahl</t>
        </is>
      </c>
      <c r="C6" s="142" t="inlineStr">
        <is>
          <t>Q1</t>
        </is>
      </c>
      <c r="D6" s="142" t="inlineStr">
        <is>
          <t>Q2</t>
        </is>
      </c>
      <c r="E6" s="142" t="inlineStr">
        <is>
          <t>Q3</t>
        </is>
      </c>
      <c r="F6" s="142" t="inlineStr">
        <is>
          <t>Q4</t>
        </is>
      </c>
      <c r="G6" s="142" t="inlineStr">
        <is>
          <t>FY 2025</t>
        </is>
      </c>
      <c r="H6" s="142" t="inlineStr">
        <is>
          <t>FY 2024</t>
        </is>
      </c>
      <c r="I6" s="142" t="n"/>
    </row>
    <row r="7" ht="16.5" customHeight="1" s="119">
      <c r="B7" s="127" t="inlineStr">
        <is>
          <t>Kunden zu Quartalsbeginn</t>
        </is>
      </c>
      <c r="C7" s="164" t="n">
        <v>36</v>
      </c>
      <c r="D7" s="164" t="n">
        <v>42</v>
      </c>
      <c r="E7" s="164" t="n">
        <v>49</v>
      </c>
      <c r="F7" s="164" t="n">
        <v>57</v>
      </c>
      <c r="G7" s="164" t="n"/>
      <c r="H7" s="164" t="n"/>
    </row>
    <row r="8" ht="16.5" customHeight="1" s="119">
      <c r="B8" s="125" t="inlineStr">
        <is>
          <t>Neukunden</t>
        </is>
      </c>
      <c r="C8" s="179" t="n">
        <v>10</v>
      </c>
      <c r="D8" s="179" t="n">
        <v>11</v>
      </c>
      <c r="E8" s="179" t="n">
        <v>12</v>
      </c>
      <c r="F8" s="179" t="n">
        <v>14</v>
      </c>
      <c r="G8" s="180">
        <f>SUM(C8:F8)</f>
        <v/>
      </c>
      <c r="H8" s="179" t="n">
        <v>24</v>
      </c>
      <c r="I8" s="175" t="n"/>
    </row>
    <row r="9" ht="16.5" customHeight="1" s="119">
      <c r="B9" s="127" t="inlineStr">
        <is>
          <t>Kündigungen</t>
        </is>
      </c>
      <c r="C9" s="164" t="n">
        <v>-4</v>
      </c>
      <c r="D9" s="164" t="n">
        <v>-4</v>
      </c>
      <c r="E9" s="164" t="n">
        <v>-4</v>
      </c>
      <c r="F9" s="164" t="n">
        <v>-5</v>
      </c>
      <c r="G9" s="181">
        <f>SUM(C9:F9)</f>
        <v/>
      </c>
      <c r="H9" s="164" t="n">
        <v>-9</v>
      </c>
    </row>
    <row r="10" ht="16.5" customHeight="1" s="119">
      <c r="B10" s="125" t="inlineStr">
        <is>
          <t>Kunden zum Quartalsende</t>
        </is>
      </c>
      <c r="C10" s="179" t="n">
        <v>42</v>
      </c>
      <c r="D10" s="179" t="n">
        <v>49</v>
      </c>
      <c r="E10" s="179" t="n">
        <v>57</v>
      </c>
      <c r="F10" s="179" t="n">
        <v>66</v>
      </c>
      <c r="G10" s="179" t="n">
        <v>66</v>
      </c>
      <c r="H10" s="179" t="n">
        <v>36</v>
      </c>
      <c r="I10" s="175" t="n"/>
    </row>
    <row r="11" ht="16.5" customHeight="1" s="119">
      <c r="B11" s="127" t="inlineStr">
        <is>
          <t>Ø MRR je Kunde (ARPA)</t>
        </is>
      </c>
      <c r="C11" s="166" t="n">
        <v>493</v>
      </c>
      <c r="D11" s="166" t="n">
        <v>501</v>
      </c>
      <c r="E11" s="166" t="n">
        <v>510</v>
      </c>
      <c r="F11" s="166" t="n">
        <v>520</v>
      </c>
      <c r="G11" s="166" t="n">
        <v>520</v>
      </c>
      <c r="H11" s="166" t="n">
        <v>481</v>
      </c>
    </row>
    <row r="12" ht="16.5" customHeight="1" s="119">
      <c r="B12" s="182" t="inlineStr">
        <is>
          <t>MRR zum Quartalsende</t>
        </is>
      </c>
      <c r="C12" s="183">
        <f>C10*C11</f>
        <v/>
      </c>
      <c r="D12" s="183">
        <f>D10*D11</f>
        <v/>
      </c>
      <c r="E12" s="183">
        <f>E10*E11</f>
        <v/>
      </c>
      <c r="F12" s="183">
        <f>F10*F11</f>
        <v/>
      </c>
      <c r="G12" s="183">
        <f>F12</f>
        <v/>
      </c>
      <c r="H12" s="161" t="n">
        <v>17316</v>
      </c>
      <c r="I12" s="175" t="n"/>
    </row>
    <row r="13" ht="16.5" customHeight="1" s="119">
      <c r="B13" s="184" t="inlineStr">
        <is>
          <t>ARR zum Quartalsende</t>
        </is>
      </c>
      <c r="C13" s="167">
        <f>C12*12</f>
        <v/>
      </c>
      <c r="D13" s="167">
        <f>D12*12</f>
        <v/>
      </c>
      <c r="E13" s="167">
        <f>E12*12</f>
        <v/>
      </c>
      <c r="F13" s="167">
        <f>F12*12</f>
        <v/>
      </c>
      <c r="G13" s="167">
        <f>F13</f>
        <v/>
      </c>
      <c r="H13" s="167">
        <f>H12*12</f>
        <v/>
      </c>
    </row>
    <row r="16" ht="24" customHeight="1" s="119">
      <c r="B16" s="131" t="inlineStr">
        <is>
          <t>MRR-BRÜCKE 2025</t>
        </is>
      </c>
      <c r="C16" s="132" t="n"/>
      <c r="D16" s="132" t="n"/>
      <c r="E16" s="132" t="n"/>
      <c r="F16" s="132" t="n"/>
      <c r="G16" s="132" t="n"/>
      <c r="H16" s="132" t="n"/>
      <c r="I16" s="132" t="n"/>
    </row>
    <row r="17" ht="21.75" customHeight="1" s="119">
      <c r="B17" s="141" t="inlineStr">
        <is>
          <t>Schritt</t>
        </is>
      </c>
      <c r="C17" s="142" t="inlineStr">
        <is>
          <t>Betrag</t>
        </is>
      </c>
      <c r="D17" s="141" t="n"/>
      <c r="E17" s="141" t="inlineStr">
        <is>
          <t>Erläuterung</t>
        </is>
      </c>
      <c r="F17" s="141" t="n"/>
      <c r="G17" s="141" t="n"/>
      <c r="H17" s="141" t="n"/>
      <c r="I17" s="141" t="n"/>
    </row>
    <row r="18" ht="18" customHeight="1" s="119">
      <c r="B18" s="127" t="inlineStr">
        <is>
          <t>MRR zum 31.12.2024</t>
        </is>
      </c>
      <c r="C18" s="145" t="n">
        <v>17316</v>
      </c>
      <c r="E18" s="147" t="inlineStr">
        <is>
          <t>36 Kunden × 481 € durchschnittlicher ARPA</t>
        </is>
      </c>
    </row>
    <row r="19" ht="18" customHeight="1" s="119">
      <c r="B19" s="125" t="inlineStr">
        <is>
          <t>+ Neukunden</t>
        </is>
      </c>
      <c r="C19" s="185" t="n">
        <v>16797</v>
      </c>
      <c r="D19" s="175" t="n"/>
      <c r="E19" s="151" t="inlineStr">
        <is>
          <t>47 Neukunden mit durchschnittlich 357 € Einstiegs-MRR</t>
        </is>
      </c>
    </row>
    <row r="20" ht="18" customHeight="1" s="119">
      <c r="B20" s="127" t="inlineStr">
        <is>
          <t>+ Expansion</t>
        </is>
      </c>
      <c r="C20" s="186" t="n">
        <v>2400</v>
      </c>
      <c r="E20" s="147" t="inlineStr">
        <is>
          <t>8 Upgrades Starter → Growth sowie Nutzer-Erweiterungen</t>
        </is>
      </c>
    </row>
    <row r="21" ht="18" customHeight="1" s="119">
      <c r="B21" s="125" t="inlineStr">
        <is>
          <t>− Churn</t>
        </is>
      </c>
      <c r="C21" s="187" t="n">
        <v>-2193</v>
      </c>
      <c r="D21" s="175" t="n"/>
      <c r="E21" s="151" t="inlineStr">
        <is>
          <t>17 Kündigungen mit durchschnittlich 129 € MRR</t>
        </is>
      </c>
    </row>
    <row r="22" ht="15" customHeight="1" s="119">
      <c r="B22" s="188" t="inlineStr">
        <is>
          <t>MRR zum 31.12.2025</t>
        </is>
      </c>
      <c r="C22" s="189">
        <f>SUM(C18:C21)</f>
        <v/>
      </c>
    </row>
    <row r="24" ht="24" customHeight="1" s="119">
      <c r="B24" s="131" t="inlineStr">
        <is>
          <t>PAKETVERTEILUNG UND BRANCHEN ZUM 31.12.2025</t>
        </is>
      </c>
      <c r="C24" s="132" t="n"/>
      <c r="D24" s="132" t="n"/>
      <c r="E24" s="132" t="n"/>
      <c r="F24" s="132" t="n"/>
      <c r="G24" s="132" t="n"/>
      <c r="H24" s="132" t="n"/>
      <c r="I24" s="132" t="n"/>
    </row>
    <row r="25" ht="21.75" customHeight="1" s="119">
      <c r="B25" s="141" t="inlineStr">
        <is>
          <t>Paket</t>
        </is>
      </c>
      <c r="C25" s="142" t="inlineStr">
        <is>
          <t>Preis / Nutzer</t>
        </is>
      </c>
      <c r="D25" s="142" t="inlineStr">
        <is>
          <t>Kunden</t>
        </is>
      </c>
      <c r="E25" s="142" t="inlineStr">
        <is>
          <t>Ø Nutzer</t>
        </is>
      </c>
      <c r="F25" s="142" t="inlineStr">
        <is>
          <t>Ø MRR / Kunde</t>
        </is>
      </c>
      <c r="G25" s="142" t="inlineStr">
        <is>
          <t>MRR gesamt</t>
        </is>
      </c>
      <c r="H25" s="142" t="inlineStr">
        <is>
          <t>Anteil MRR</t>
        </is>
      </c>
      <c r="I25" s="142" t="n"/>
    </row>
    <row r="26" ht="16.5" customHeight="1" s="119">
      <c r="B26" s="127" t="inlineStr">
        <is>
          <t>Starter</t>
        </is>
      </c>
      <c r="C26" s="166" t="n">
        <v>49</v>
      </c>
      <c r="D26" s="164" t="n">
        <v>41</v>
      </c>
      <c r="E26" s="164" t="n">
        <v>5</v>
      </c>
      <c r="F26" s="166" t="n">
        <v>245</v>
      </c>
      <c r="G26" s="167">
        <f>D26*F26</f>
        <v/>
      </c>
      <c r="H26" s="190">
        <f>G26/$G$29</f>
        <v/>
      </c>
    </row>
    <row r="27" ht="16.5" customHeight="1" s="119">
      <c r="B27" s="127" t="inlineStr">
        <is>
          <t>Growth</t>
        </is>
      </c>
      <c r="C27" s="166" t="n">
        <v>89</v>
      </c>
      <c r="D27" s="164" t="n">
        <v>22</v>
      </c>
      <c r="E27" s="164" t="n">
        <v>10</v>
      </c>
      <c r="F27" s="166" t="n">
        <v>890</v>
      </c>
      <c r="G27" s="167">
        <f>D27*F27</f>
        <v/>
      </c>
      <c r="H27" s="190">
        <f>G27/$G$29</f>
        <v/>
      </c>
    </row>
    <row r="28" ht="16.5" customHeight="1" s="119">
      <c r="B28" s="127" t="inlineStr">
        <is>
          <t>Pro</t>
        </is>
      </c>
      <c r="C28" s="191" t="inlineStr">
        <is>
          <t>individuell</t>
        </is>
      </c>
      <c r="D28" s="164" t="n">
        <v>3</v>
      </c>
      <c r="E28" s="164" t="n">
        <v>14</v>
      </c>
      <c r="F28" s="166" t="n">
        <v>1565</v>
      </c>
      <c r="G28" s="167">
        <f>D28*F28</f>
        <v/>
      </c>
      <c r="H28" s="190">
        <f>G28/$G$29</f>
        <v/>
      </c>
    </row>
    <row r="29" ht="15" customHeight="1" s="119">
      <c r="B29" s="169" t="inlineStr">
        <is>
          <t>Gesamt</t>
        </is>
      </c>
      <c r="C29" s="192" t="n"/>
      <c r="D29" s="193">
        <f>SUM(D26:D28)</f>
        <v/>
      </c>
      <c r="E29" s="192" t="n"/>
      <c r="F29" s="170">
        <f>G29/D29</f>
        <v/>
      </c>
      <c r="G29" s="170">
        <f>SUM(G26:G28)</f>
        <v/>
      </c>
      <c r="H29" s="192" t="n"/>
    </row>
    <row r="31" ht="21.75" customHeight="1" s="119">
      <c r="B31" s="141" t="inlineStr">
        <is>
          <t>Branche</t>
        </is>
      </c>
      <c r="C31" s="142" t="inlineStr">
        <is>
          <t>Kunden</t>
        </is>
      </c>
      <c r="D31" s="142" t="inlineStr">
        <is>
          <t>Anteil</t>
        </is>
      </c>
      <c r="E31" s="141" t="n"/>
      <c r="F31" s="141" t="inlineStr">
        <is>
          <t>Region</t>
        </is>
      </c>
      <c r="G31" s="142" t="inlineStr">
        <is>
          <t>Kunden</t>
        </is>
      </c>
      <c r="H31" s="141" t="n"/>
      <c r="I31" s="141" t="n"/>
    </row>
    <row r="32" ht="16.5" customHeight="1" s="119">
      <c r="B32" s="127" t="inlineStr">
        <is>
          <t>Maschinenbau / Industrie</t>
        </is>
      </c>
      <c r="C32" s="164" t="n">
        <v>24</v>
      </c>
      <c r="D32" s="190">
        <f>C32/SUM($C$32:$C$35)</f>
        <v/>
      </c>
      <c r="F32" s="127" t="inlineStr">
        <is>
          <t>Deutschland</t>
        </is>
      </c>
      <c r="G32" s="164" t="n">
        <v>61</v>
      </c>
    </row>
    <row r="33" ht="16.5" customHeight="1" s="119">
      <c r="B33" s="125" t="inlineStr">
        <is>
          <t>IT / Software</t>
        </is>
      </c>
      <c r="C33" s="179" t="n">
        <v>18</v>
      </c>
      <c r="D33" s="194">
        <f>C33/SUM($C$32:$C$35)</f>
        <v/>
      </c>
      <c r="E33" s="175" t="n"/>
      <c r="F33" s="125" t="inlineStr">
        <is>
          <t>Österreich</t>
        </is>
      </c>
      <c r="G33" s="179" t="n">
        <v>3</v>
      </c>
      <c r="H33" s="175" t="n"/>
      <c r="I33" s="175" t="n"/>
    </row>
    <row r="34" ht="16.5" customHeight="1" s="119">
      <c r="B34" s="127" t="inlineStr">
        <is>
          <t>Großhandel</t>
        </is>
      </c>
      <c r="C34" s="164" t="n">
        <v>14</v>
      </c>
      <c r="D34" s="190">
        <f>C34/SUM($C$32:$C$35)</f>
        <v/>
      </c>
      <c r="F34" s="127" t="inlineStr">
        <is>
          <t>Schweiz</t>
        </is>
      </c>
      <c r="G34" s="164" t="n">
        <v>2</v>
      </c>
    </row>
    <row r="35" ht="16.5" customHeight="1" s="119">
      <c r="B35" s="125" t="inlineStr">
        <is>
          <t>Agenturen</t>
        </is>
      </c>
      <c r="C35" s="179" t="n">
        <v>10</v>
      </c>
      <c r="D35" s="194">
        <f>C35/SUM($C$32:$C$35)</f>
        <v/>
      </c>
      <c r="E35" s="175" t="n"/>
      <c r="F35" s="175" t="n"/>
      <c r="G35" s="175" t="n"/>
      <c r="H35" s="175" t="n"/>
      <c r="I35" s="175" t="n"/>
    </row>
    <row r="36" ht="46.25" customHeight="1" s="119">
      <c r="B36" s="165" t="inlineStr">
        <is>
          <t>Kein Kunde überschreitet 200 Mitarbeitende – die Kundenstruktur entspricht damit vollständig dem Ideal Customer Profile. Österreich und Schweiz sind Einzelkunden; von einer DACH-Vollabdeckung kann nicht gesprochen werden.</t>
        </is>
      </c>
    </row>
    <row r="39" ht="24" customHeight="1" s="119">
      <c r="B39" s="131" t="inlineStr">
        <is>
          <t>SALES-FUNNEL 2025</t>
        </is>
      </c>
      <c r="C39" s="132" t="n"/>
      <c r="D39" s="132" t="n"/>
      <c r="E39" s="132" t="n"/>
      <c r="F39" s="132" t="n"/>
      <c r="G39" s="132" t="n"/>
      <c r="H39" s="132" t="n"/>
      <c r="I39" s="132" t="n"/>
    </row>
    <row r="40" ht="21.75" customHeight="1" s="119">
      <c r="B40" s="141" t="inlineStr">
        <is>
          <t>Stufe</t>
        </is>
      </c>
      <c r="C40" s="142" t="inlineStr">
        <is>
          <t>Q1</t>
        </is>
      </c>
      <c r="D40" s="142" t="inlineStr">
        <is>
          <t>Q2</t>
        </is>
      </c>
      <c r="E40" s="142" t="inlineStr">
        <is>
          <t>Q3</t>
        </is>
      </c>
      <c r="F40" s="142" t="inlineStr">
        <is>
          <t>Q4</t>
        </is>
      </c>
      <c r="G40" s="142" t="inlineStr">
        <is>
          <t>FY 2025</t>
        </is>
      </c>
      <c r="H40" s="142" t="inlineStr">
        <is>
          <t>Ø / Monat</t>
        </is>
      </c>
      <c r="I40" s="142" t="inlineStr">
        <is>
          <t>Conversion</t>
        </is>
      </c>
    </row>
    <row r="41" ht="16.5" customHeight="1" s="119">
      <c r="B41" s="127" t="inlineStr">
        <is>
          <t>Leads gesamt</t>
        </is>
      </c>
      <c r="C41" s="164" t="n">
        <v>384</v>
      </c>
      <c r="D41" s="164" t="n">
        <v>432</v>
      </c>
      <c r="E41" s="164" t="n">
        <v>456</v>
      </c>
      <c r="F41" s="164" t="n">
        <v>504</v>
      </c>
      <c r="G41" s="195">
        <f>SUM(C41:F41)</f>
        <v/>
      </c>
      <c r="H41" s="196">
        <f>G41/12</f>
        <v/>
      </c>
    </row>
    <row r="42" ht="16.5" customHeight="1" s="119">
      <c r="B42" s="125" t="inlineStr">
        <is>
          <t>Marketing Qualified Leads</t>
        </is>
      </c>
      <c r="C42" s="179" t="n">
        <v>108</v>
      </c>
      <c r="D42" s="179" t="n">
        <v>126</v>
      </c>
      <c r="E42" s="179" t="n">
        <v>132</v>
      </c>
      <c r="F42" s="179" t="n">
        <v>150</v>
      </c>
      <c r="G42" s="197">
        <f>SUM(C42:F42)</f>
        <v/>
      </c>
      <c r="H42" s="198">
        <f>G42/12</f>
        <v/>
      </c>
      <c r="I42" s="194">
        <f>G42/G41</f>
        <v/>
      </c>
    </row>
    <row r="43" ht="16.5" customHeight="1" s="119">
      <c r="B43" s="127" t="inlineStr">
        <is>
          <t>Sales Qualified Leads</t>
        </is>
      </c>
      <c r="C43" s="164" t="n">
        <v>40</v>
      </c>
      <c r="D43" s="164" t="n">
        <v>47</v>
      </c>
      <c r="E43" s="164" t="n">
        <v>50</v>
      </c>
      <c r="F43" s="164" t="n">
        <v>55</v>
      </c>
      <c r="G43" s="195">
        <f>SUM(C43:F43)</f>
        <v/>
      </c>
      <c r="H43" s="196">
        <f>G43/12</f>
        <v/>
      </c>
      <c r="I43" s="190">
        <f>G43/G42</f>
        <v/>
      </c>
    </row>
    <row r="44" ht="16.5" customHeight="1" s="119">
      <c r="B44" s="125" t="inlineStr">
        <is>
          <t>Testversionen gestartet</t>
        </is>
      </c>
      <c r="C44" s="179" t="n">
        <v>57</v>
      </c>
      <c r="D44" s="179" t="n">
        <v>64</v>
      </c>
      <c r="E44" s="179" t="n">
        <v>68</v>
      </c>
      <c r="F44" s="179" t="n">
        <v>75</v>
      </c>
      <c r="G44" s="197">
        <f>SUM(C44:F44)</f>
        <v/>
      </c>
      <c r="H44" s="198">
        <f>G44/12</f>
        <v/>
      </c>
      <c r="I44" s="175" t="n"/>
    </row>
    <row r="45" ht="16.5" customHeight="1" s="119">
      <c r="B45" s="127" t="inlineStr">
        <is>
          <t>Angebote</t>
        </is>
      </c>
      <c r="C45" s="164" t="n">
        <v>23</v>
      </c>
      <c r="D45" s="164" t="n">
        <v>26</v>
      </c>
      <c r="E45" s="164" t="n">
        <v>28</v>
      </c>
      <c r="F45" s="164" t="n">
        <v>31</v>
      </c>
      <c r="G45" s="195">
        <f>SUM(C45:F45)</f>
        <v/>
      </c>
      <c r="H45" s="196">
        <f>G45/12</f>
        <v/>
      </c>
      <c r="I45" s="190">
        <f>G45/G43</f>
        <v/>
      </c>
    </row>
    <row r="46" ht="16.5" customHeight="1" s="119">
      <c r="B46" s="182" t="inlineStr">
        <is>
          <t>Neukunden</t>
        </is>
      </c>
      <c r="C46" s="179" t="n">
        <v>10</v>
      </c>
      <c r="D46" s="179" t="n">
        <v>11</v>
      </c>
      <c r="E46" s="179" t="n">
        <v>12</v>
      </c>
      <c r="F46" s="179" t="n">
        <v>14</v>
      </c>
      <c r="G46" s="197">
        <f>SUM(C46:F46)</f>
        <v/>
      </c>
      <c r="H46" s="198">
        <f>G46/12</f>
        <v/>
      </c>
      <c r="I46" s="199">
        <f>G46/G45</f>
        <v/>
      </c>
    </row>
    <row r="47" ht="15" customHeight="1" s="119">
      <c r="B47" s="200" t="inlineStr">
        <is>
          <t>Trial-to-Paid</t>
        </is>
      </c>
      <c r="I47" s="201">
        <f>G46/G44</f>
        <v/>
      </c>
    </row>
    <row r="49" ht="24" customHeight="1" s="119">
      <c r="B49" s="131" t="inlineStr">
        <is>
          <t>KANÄLE – ANTEIL AN NEUKUNDEN UND EFFIZIENZ</t>
        </is>
      </c>
      <c r="C49" s="132" t="n"/>
      <c r="D49" s="132" t="n"/>
      <c r="E49" s="132" t="n"/>
      <c r="F49" s="132" t="n"/>
      <c r="G49" s="132" t="n"/>
      <c r="H49" s="132" t="n"/>
      <c r="I49" s="132" t="n"/>
    </row>
    <row r="50" ht="21.75" customHeight="1" s="119">
      <c r="B50" s="141" t="inlineStr">
        <is>
          <t>Kanal</t>
        </is>
      </c>
      <c r="C50" s="142" t="inlineStr">
        <is>
          <t>Anteil</t>
        </is>
      </c>
      <c r="D50" s="142" t="inlineStr">
        <is>
          <t>Neukunden</t>
        </is>
      </c>
      <c r="E50" s="142" t="inlineStr">
        <is>
          <t>CAC-Index</t>
        </is>
      </c>
      <c r="F50" s="141" t="inlineStr">
        <is>
          <t>Skalierbarkeit</t>
        </is>
      </c>
      <c r="G50" s="141" t="n"/>
      <c r="H50" s="141" t="n"/>
      <c r="I50" s="141" t="n"/>
    </row>
    <row r="51" ht="16.5" customHeight="1" s="119">
      <c r="B51" s="127" t="inlineStr">
        <is>
          <t>LinkedIn-Content</t>
        </is>
      </c>
      <c r="C51" s="202" t="n">
        <v>0.38</v>
      </c>
      <c r="D51" s="164" t="n">
        <v>18</v>
      </c>
      <c r="E51" s="203" t="n">
        <v>1.2</v>
      </c>
      <c r="F51" s="147" t="inlineStr">
        <is>
          <t>Mittel</t>
        </is>
      </c>
    </row>
    <row r="52" ht="16.5" customHeight="1" s="119">
      <c r="B52" s="125" t="inlineStr">
        <is>
          <t>SEO / Content</t>
        </is>
      </c>
      <c r="C52" s="204" t="n">
        <v>0.22</v>
      </c>
      <c r="D52" s="179" t="n">
        <v>10</v>
      </c>
      <c r="E52" s="205" t="n">
        <v>0.8</v>
      </c>
      <c r="F52" s="151" t="inlineStr">
        <is>
          <t>Hoch</t>
        </is>
      </c>
      <c r="G52" s="175" t="n"/>
      <c r="H52" s="175" t="n"/>
      <c r="I52" s="175" t="n"/>
    </row>
    <row r="53" ht="16.5" customHeight="1" s="119">
      <c r="B53" s="127" t="inlineStr">
        <is>
          <t>Partner / Empfehlung</t>
        </is>
      </c>
      <c r="C53" s="202" t="n">
        <v>0.18</v>
      </c>
      <c r="D53" s="164" t="n">
        <v>8</v>
      </c>
      <c r="E53" s="203" t="n">
        <v>0.6</v>
      </c>
      <c r="F53" s="147" t="inlineStr">
        <is>
          <t>Sehr hoch</t>
        </is>
      </c>
    </row>
    <row r="54" ht="16.5" customHeight="1" s="119">
      <c r="B54" s="125" t="inlineStr">
        <is>
          <t>Webinare</t>
        </is>
      </c>
      <c r="C54" s="204" t="n">
        <v>0.12</v>
      </c>
      <c r="D54" s="179" t="n">
        <v>6</v>
      </c>
      <c r="E54" s="205" t="n">
        <v>1</v>
      </c>
      <c r="F54" s="151" t="inlineStr">
        <is>
          <t>Mittel</t>
        </is>
      </c>
      <c r="G54" s="175" t="n"/>
      <c r="H54" s="175" t="n"/>
      <c r="I54" s="175" t="n"/>
    </row>
    <row r="55" ht="16.5" customHeight="1" s="119">
      <c r="B55" s="127" t="inlineStr">
        <is>
          <t>Outbound-E-Mail</t>
        </is>
      </c>
      <c r="C55" s="202" t="n">
        <v>0.1</v>
      </c>
      <c r="D55" s="164" t="n">
        <v>5</v>
      </c>
      <c r="E55" s="203" t="n">
        <v>1.8</v>
      </c>
      <c r="F55" s="147" t="inlineStr">
        <is>
          <t>Niedrig</t>
        </is>
      </c>
    </row>
    <row r="56" ht="15" customHeight="1" s="119">
      <c r="B56" s="169" t="inlineStr">
        <is>
          <t>Gesamt</t>
        </is>
      </c>
      <c r="C56" s="206">
        <f>SUM(C51:C55)</f>
        <v/>
      </c>
      <c r="D56" s="193">
        <f>SUM(D51:D55)</f>
        <v/>
      </c>
      <c r="E56" s="192" t="n"/>
      <c r="F56" s="192" t="n"/>
    </row>
    <row r="58" ht="24" customHeight="1" s="119">
      <c r="B58" s="131" t="inlineStr">
        <is>
          <t>UNIT ECONOMICS</t>
        </is>
      </c>
      <c r="C58" s="132" t="n"/>
      <c r="D58" s="132" t="n"/>
      <c r="E58" s="132" t="n"/>
      <c r="F58" s="132" t="n"/>
      <c r="G58" s="132" t="n"/>
      <c r="H58" s="132" t="n"/>
      <c r="I58" s="132" t="n"/>
    </row>
    <row r="59" ht="21.75" customHeight="1" s="119">
      <c r="B59" s="141" t="inlineStr">
        <is>
          <t>Kennzahl</t>
        </is>
      </c>
      <c r="C59" s="142" t="inlineStr">
        <is>
          <t>Wert</t>
        </is>
      </c>
      <c r="D59" s="141" t="n"/>
      <c r="E59" s="141" t="inlineStr">
        <is>
          <t>Herleitung</t>
        </is>
      </c>
      <c r="F59" s="141" t="n"/>
      <c r="G59" s="141" t="n"/>
      <c r="H59" s="141" t="n"/>
      <c r="I59" s="141" t="n"/>
    </row>
    <row r="60" ht="18" customHeight="1" s="119">
      <c r="B60" s="127" t="inlineStr">
        <is>
          <t>Marketing-CAC</t>
        </is>
      </c>
      <c r="C60" s="145" t="n">
        <v>862</v>
      </c>
      <c r="E60" s="147" t="inlineStr">
        <is>
          <t>Media-Spend 40.500 € ÷ 47 Neukunden</t>
        </is>
      </c>
    </row>
    <row r="61" ht="18" customHeight="1" s="119">
      <c r="B61" s="125" t="inlineStr">
        <is>
          <t>Fully-Loaded CAC</t>
        </is>
      </c>
      <c r="C61" s="161" t="n">
        <v>4447</v>
      </c>
      <c r="D61" s="175" t="n"/>
      <c r="E61" s="151" t="inlineStr">
        <is>
          <t>Sales &amp; Marketing 209.000 € ÷ 47 Neukunden</t>
        </is>
      </c>
    </row>
    <row r="62" ht="18" customHeight="1" s="119">
      <c r="B62" s="127" t="inlineStr">
        <is>
          <t>Deckungsbeitrag je Kunde und Monat</t>
        </is>
      </c>
      <c r="C62" s="145" t="n">
        <v>333</v>
      </c>
      <c r="E62" s="147" t="inlineStr">
        <is>
          <t>ARPA 520 € × Bruttomarge 64 %</t>
        </is>
      </c>
    </row>
    <row r="63" ht="18" customHeight="1" s="119">
      <c r="B63" s="125" t="inlineStr">
        <is>
          <t>Customer Lifetime Value</t>
        </is>
      </c>
      <c r="C63" s="161" t="n">
        <v>11893</v>
      </c>
      <c r="D63" s="175" t="n"/>
      <c r="E63" s="151" t="inlineStr">
        <is>
          <t>Deckungsbeitrag ÷ monatlicher Churn von 2,8 %</t>
        </is>
      </c>
    </row>
    <row r="64" ht="18" customHeight="1" s="119">
      <c r="B64" s="127" t="inlineStr">
        <is>
          <t>LTV : CAC</t>
        </is>
      </c>
      <c r="C64" s="207" t="n">
        <v>2.7</v>
      </c>
      <c r="E64" s="147" t="inlineStr">
        <is>
          <t>Benchmark 3,0 : 1 – aktuell verfehlt</t>
        </is>
      </c>
    </row>
    <row r="65" ht="18" customHeight="1" s="119">
      <c r="B65" s="125" t="inlineStr">
        <is>
          <t>CAC-Payback</t>
        </is>
      </c>
      <c r="C65" s="157" t="n">
        <v>13</v>
      </c>
      <c r="D65" s="175" t="n"/>
      <c r="E65" s="151" t="inlineStr">
        <is>
          <t>In Monaten, auf Fully-Loaded CAC</t>
        </is>
      </c>
    </row>
  </sheetData>
  <mergeCells count="10">
    <mergeCell ref="E64:I64"/>
    <mergeCell ref="E21:I21"/>
    <mergeCell ref="E65:I65"/>
    <mergeCell ref="E20:I20"/>
    <mergeCell ref="E62:I62"/>
    <mergeCell ref="E19:I19"/>
    <mergeCell ref="E63:I63"/>
    <mergeCell ref="E61:I61"/>
    <mergeCell ref="E60:I60"/>
    <mergeCell ref="E18:I18"/>
  </mergeCells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38" customWidth="1" style="118" min="2" max="2"/>
    <col width="14" customWidth="1" style="118" min="3" max="6"/>
    <col width="46" customWidth="1" style="118" min="7" max="7"/>
  </cols>
  <sheetData>
    <row r="2" ht="30" customHeight="1" s="119">
      <c r="B2" s="129" t="inlineStr">
        <is>
          <t>Produkt und Technik 2025</t>
        </is>
      </c>
    </row>
    <row r="3" ht="15" customHeight="1" s="119">
      <c r="B3" s="130" t="inlineStr">
        <is>
          <t>Nutzungskennzahlen, Architektur und Releases</t>
        </is>
      </c>
    </row>
    <row r="5" ht="24" customHeight="1" s="119">
      <c r="B5" s="131" t="inlineStr">
        <is>
          <t>PRODUKT-KENNZAHLEN</t>
        </is>
      </c>
      <c r="C5" s="132" t="n"/>
      <c r="D5" s="132" t="n"/>
      <c r="E5" s="132" t="n"/>
      <c r="F5" s="132" t="n"/>
      <c r="G5" s="132" t="n"/>
    </row>
    <row r="6" ht="21.75" customHeight="1" s="119">
      <c r="B6" s="141" t="inlineStr">
        <is>
          <t>Kennzahl</t>
        </is>
      </c>
      <c r="C6" s="142" t="inlineStr">
        <is>
          <t>Ist 2025</t>
        </is>
      </c>
      <c r="D6" s="142" t="inlineStr">
        <is>
          <t>Ziel 2025</t>
        </is>
      </c>
      <c r="E6" s="143" t="inlineStr">
        <is>
          <t>Bewertung</t>
        </is>
      </c>
      <c r="F6" s="141" t="n"/>
      <c r="G6" s="141" t="inlineStr">
        <is>
          <t>Kommentar</t>
        </is>
      </c>
    </row>
    <row r="7" ht="18" customHeight="1" s="119">
      <c r="B7" s="127" t="inlineStr">
        <is>
          <t>Uptime</t>
        </is>
      </c>
      <c r="C7" s="153" t="n">
        <v>0.997</v>
      </c>
      <c r="D7" s="152" t="n">
        <v>0.995</v>
      </c>
      <c r="E7" s="208" t="inlineStr">
        <is>
          <t>erreicht</t>
        </is>
      </c>
      <c r="G7" s="147" t="inlineStr">
        <is>
          <t>Einziges klar übertroffenes technisches Ziel</t>
        </is>
      </c>
    </row>
    <row r="8" ht="18" customHeight="1" s="119">
      <c r="B8" s="125" t="inlineStr">
        <is>
          <t>Aktivierungsrate</t>
        </is>
      </c>
      <c r="C8" s="149" t="n">
        <v>0.58</v>
      </c>
      <c r="D8" s="148" t="n">
        <v>0.7</v>
      </c>
      <c r="E8" s="150" t="inlineStr">
        <is>
          <t>knapp verfehlt</t>
        </is>
      </c>
      <c r="F8" s="175" t="n"/>
      <c r="G8" s="151" t="inlineStr">
        <is>
          <t>Anteil der Accounts mit vollständiger Ersteinrichtung</t>
        </is>
      </c>
    </row>
    <row r="9" ht="18" customHeight="1" s="119">
      <c r="B9" s="127" t="inlineStr">
        <is>
          <t>WAU / MAU</t>
        </is>
      </c>
      <c r="C9" s="153" t="n">
        <v>0.59</v>
      </c>
      <c r="D9" s="152" t="n">
        <v>0.6</v>
      </c>
      <c r="E9" s="154" t="inlineStr">
        <is>
          <t>knapp verfehlt</t>
        </is>
      </c>
      <c r="G9" s="147" t="inlineStr">
        <is>
          <t>Wöchentlich zu monatlich aktive Nutzer</t>
        </is>
      </c>
    </row>
    <row r="10" ht="18" customHeight="1" s="119">
      <c r="B10" s="125" t="inlineStr">
        <is>
          <t>Nutzung KI-Scoring (Kernfeature)</t>
        </is>
      </c>
      <c r="C10" s="149" t="n">
        <v>0.47</v>
      </c>
      <c r="D10" s="148" t="n">
        <v>0.65</v>
      </c>
      <c r="E10" s="155" t="inlineStr">
        <is>
          <t>verfehlt</t>
        </is>
      </c>
      <c r="F10" s="175" t="n"/>
      <c r="G10" s="151" t="inlineStr">
        <is>
          <t>Kernfunktion wird von der Mehrheit nicht genutzt</t>
        </is>
      </c>
    </row>
    <row r="11" ht="18" customHeight="1" s="119">
      <c r="B11" s="127" t="inlineStr">
        <is>
          <t>Onboarding-Abschlussquote</t>
        </is>
      </c>
      <c r="C11" s="153" t="n">
        <v>0.74</v>
      </c>
      <c r="D11" s="152" t="n">
        <v>0.9</v>
      </c>
      <c r="E11" s="146" t="inlineStr">
        <is>
          <t>verfehlt</t>
        </is>
      </c>
      <c r="G11" s="147" t="inlineStr">
        <is>
          <t>26 % der Neukunden werden nie vollständig produktiv</t>
        </is>
      </c>
    </row>
    <row r="12" ht="18" customHeight="1" s="119">
      <c r="B12" s="125" t="inlineStr">
        <is>
          <t>Time-to-Value (Tage)</t>
        </is>
      </c>
      <c r="C12" s="157" t="n">
        <v>11</v>
      </c>
      <c r="D12" s="156" t="n">
        <v>7</v>
      </c>
      <c r="E12" s="155" t="inlineStr">
        <is>
          <t>verfehlt</t>
        </is>
      </c>
      <c r="F12" s="175" t="n"/>
      <c r="G12" s="151" t="inlineStr">
        <is>
          <t>Direkter Treiber des Churn-Problems</t>
        </is>
      </c>
    </row>
    <row r="13" ht="18" customHeight="1" s="119">
      <c r="B13" s="127" t="inlineStr">
        <is>
          <t>Ø Support-Lösungszeit (Stunden)</t>
        </is>
      </c>
      <c r="C13" s="159" t="n">
        <v>31</v>
      </c>
      <c r="D13" s="158" t="n">
        <v>24</v>
      </c>
      <c r="E13" s="154" t="inlineStr">
        <is>
          <t>knapp verfehlt</t>
        </is>
      </c>
      <c r="G13" s="147" t="inlineStr">
        <is>
          <t>Häufigste Kategorie: Onboarding-Fragen (42 %)</t>
        </is>
      </c>
    </row>
    <row r="14" ht="18" customHeight="1" s="119">
      <c r="B14" s="125" t="inlineStr">
        <is>
          <t>CSAT</t>
        </is>
      </c>
      <c r="C14" s="209" t="n">
        <v>4</v>
      </c>
      <c r="D14" s="210" t="n">
        <v>4.2</v>
      </c>
      <c r="E14" s="150" t="inlineStr">
        <is>
          <t>knapp verfehlt</t>
        </is>
      </c>
      <c r="F14" s="175" t="n"/>
      <c r="G14" s="151" t="inlineStr">
        <is>
          <t>Skala 1 bis 5</t>
        </is>
      </c>
    </row>
    <row r="15" ht="18" customHeight="1" s="119">
      <c r="B15" s="127" t="inlineStr">
        <is>
          <t>Net Promoter Score</t>
        </is>
      </c>
      <c r="C15" s="159" t="n">
        <v>34</v>
      </c>
      <c r="D15" s="158" t="n">
        <v>40</v>
      </c>
      <c r="E15" s="146" t="inlineStr">
        <is>
          <t>verfehlt</t>
        </is>
      </c>
      <c r="G15" s="147" t="inlineStr">
        <is>
          <t>Vorjahr 31</t>
        </is>
      </c>
    </row>
    <row r="18" ht="24" customHeight="1" s="119">
      <c r="B18" s="131" t="inlineStr">
        <is>
          <t>ARCHITEKTUR UND DATENSCHUTZ</t>
        </is>
      </c>
      <c r="C18" s="132" t="n"/>
      <c r="D18" s="132" t="n"/>
      <c r="E18" s="132" t="n"/>
      <c r="F18" s="132" t="n"/>
      <c r="G18" s="132" t="n"/>
    </row>
    <row r="19" ht="18" customHeight="1" s="119">
      <c r="B19" s="126" t="inlineStr">
        <is>
          <t>Hosting</t>
        </is>
      </c>
      <c r="C19" s="176" t="inlineStr">
        <is>
          <t>Ausschließlich europäische Rechenzentren, Standort Frankfurt am Main</t>
        </is>
      </c>
    </row>
    <row r="20" ht="18" customHeight="1" s="119">
      <c r="B20" s="126" t="inlineStr">
        <is>
          <t>KI-Modelle</t>
        </is>
      </c>
      <c r="C20" s="176" t="inlineStr">
        <is>
          <t>Über einen EU-gehosteten Anbieter – kein Direktzugriff auf US-Hyperscaler-Endpunkte</t>
        </is>
      </c>
    </row>
    <row r="21" ht="18" customHeight="1" s="119">
      <c r="B21" s="126" t="inlineStr">
        <is>
          <t>Auftragsverarbeitung</t>
        </is>
      </c>
      <c r="C21" s="176" t="inlineStr">
        <is>
          <t>AV-Vertrag und Verfahrensverzeichnis als Standardbestandteil des Onboardings</t>
        </is>
      </c>
    </row>
    <row r="22" ht="18" customHeight="1" s="119">
      <c r="B22" s="126" t="inlineStr">
        <is>
          <t>Positionierung</t>
        </is>
      </c>
      <c r="C22" s="176" t="inlineStr">
        <is>
          <t>DSGVO-native Architektur als aktives Vertrauensargument im Vertrieb</t>
        </is>
      </c>
    </row>
    <row r="25" ht="24" customHeight="1" s="119">
      <c r="B25" s="131" t="inlineStr">
        <is>
          <t>RELEASES UND ROADMAP</t>
        </is>
      </c>
      <c r="C25" s="132" t="n"/>
      <c r="D25" s="132" t="n"/>
      <c r="E25" s="132" t="n"/>
      <c r="F25" s="132" t="n"/>
      <c r="G25" s="132" t="n"/>
    </row>
    <row r="26" ht="21.75" customHeight="1" s="119">
      <c r="B26" s="141" t="inlineStr">
        <is>
          <t>Release</t>
        </is>
      </c>
      <c r="C26" s="141" t="inlineStr">
        <is>
          <t>Zeitpunkt</t>
        </is>
      </c>
      <c r="D26" s="141" t="n"/>
      <c r="E26" s="141" t="n"/>
      <c r="F26" s="141" t="n"/>
      <c r="G26" s="141" t="inlineStr">
        <is>
          <t>Inhalt und Wirkung</t>
        </is>
      </c>
    </row>
    <row r="27" ht="18" customHeight="1" s="119">
      <c r="B27" s="126" t="inlineStr">
        <is>
          <t>v1.2</t>
        </is>
      </c>
      <c r="C27" s="147" t="inlineStr">
        <is>
          <t>Feb 2025</t>
        </is>
      </c>
      <c r="G27" s="211" t="inlineStr">
        <is>
          <t>Import-Assistent für Excel- und Google-Listen – senkt die Einstiegshürde beim Onboarding</t>
        </is>
      </c>
    </row>
    <row r="28" ht="18" customHeight="1" s="119">
      <c r="B28" s="124" t="inlineStr">
        <is>
          <t>v1.3</t>
        </is>
      </c>
      <c r="C28" s="151" t="inlineStr">
        <is>
          <t>Mai 2025</t>
        </is>
      </c>
      <c r="D28" s="175" t="n"/>
      <c r="E28" s="175" t="n"/>
      <c r="F28" s="175" t="n"/>
      <c r="G28" s="212" t="inlineStr">
        <is>
          <t>KI-Scoring v1.5, Trefferquote 71 %</t>
        </is>
      </c>
    </row>
    <row r="29" ht="18" customHeight="1" s="119">
      <c r="B29" s="126" t="inlineStr">
        <is>
          <t>v1.4</t>
        </is>
      </c>
      <c r="C29" s="147" t="inlineStr">
        <is>
          <t>Aug 2025</t>
        </is>
      </c>
      <c r="G29" s="211" t="inlineStr">
        <is>
          <t>Integration Microsoft 365 und Google Workspace (E-Mail, Kalender)</t>
        </is>
      </c>
    </row>
    <row r="30" ht="18" customHeight="1" s="119">
      <c r="B30" s="124" t="inlineStr">
        <is>
          <t>v1.5</t>
        </is>
      </c>
      <c r="C30" s="151" t="inlineStr">
        <is>
          <t>Nov 2025</t>
        </is>
      </c>
      <c r="D30" s="175" t="n"/>
      <c r="E30" s="175" t="n"/>
      <c r="F30" s="175" t="n"/>
      <c r="G30" s="212" t="inlineStr">
        <is>
          <t>Überfälligkeits-Dashboard für die Vertriebsleitung</t>
        </is>
      </c>
    </row>
    <row r="31" ht="18" customHeight="1" s="119">
      <c r="B31" s="213" t="inlineStr">
        <is>
          <t>v2.0</t>
        </is>
      </c>
      <c r="C31" s="147" t="inlineStr">
        <is>
          <t>geplant Q1 2026</t>
        </is>
      </c>
      <c r="G31" s="214" t="inlineStr">
        <is>
          <t>Geführter Trial-Flow – wichtigste Maßnahme gegen die schwache Trial-to-Paid-Rate</t>
        </is>
      </c>
    </row>
    <row r="32" ht="18" customHeight="1" s="119">
      <c r="B32" s="215" t="inlineStr">
        <is>
          <t>v2.1</t>
        </is>
      </c>
      <c r="C32" s="151" t="inlineStr">
        <is>
          <t>geplant Q2 2026</t>
        </is>
      </c>
      <c r="D32" s="175" t="n"/>
      <c r="E32" s="175" t="n"/>
      <c r="F32" s="175" t="n"/>
      <c r="G32" s="216" t="inlineStr">
        <is>
          <t>Zapier- und Make-Anbindung</t>
        </is>
      </c>
    </row>
    <row r="34" ht="46.25" customHeight="1" s="119">
      <c r="B34" s="165" t="inlineStr">
        <is>
          <t>Der Release-Umfang ist auf ein Team von vier Entwicklerinnen und Entwicklern zugeschnitten. Frühere Angaben zu einer Mobile App, einer HubSpot-Zertifizierung oder über 40 Integrationen sind für diese Teamgröße nicht darstellbar und entfallen.</t>
        </is>
      </c>
    </row>
  </sheetData>
  <mergeCells count="4">
    <mergeCell ref="C22:G22"/>
    <mergeCell ref="C19:G19"/>
    <mergeCell ref="C21:G21"/>
    <mergeCell ref="C20:G20"/>
  </mergeCells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34" customWidth="1" style="118" min="2" max="2"/>
    <col width="13" customWidth="1" style="118" min="3" max="6"/>
    <col width="44" customWidth="1" style="118" min="7" max="7"/>
  </cols>
  <sheetData>
    <row r="2" ht="30" customHeight="1" s="119">
      <c r="B2" s="129" t="inlineStr">
        <is>
          <t>Personal und Organisation 2025</t>
        </is>
      </c>
    </row>
    <row r="3" ht="15" customHeight="1" s="119">
      <c r="B3" s="130" t="inlineStr">
        <is>
          <t>Teamentwicklung, Kosten und Engpässe</t>
        </is>
      </c>
    </row>
    <row r="5" ht="24" customHeight="1" s="119">
      <c r="B5" s="131" t="inlineStr">
        <is>
          <t>TEAMENTWICKLUNG</t>
        </is>
      </c>
      <c r="C5" s="132" t="n"/>
      <c r="D5" s="132" t="n"/>
      <c r="E5" s="132" t="n"/>
      <c r="F5" s="132" t="n"/>
      <c r="G5" s="132" t="n"/>
    </row>
    <row r="6" ht="21.75" customHeight="1" s="119">
      <c r="B6" s="141" t="inlineStr">
        <is>
          <t>Bereich</t>
        </is>
      </c>
      <c r="C6" s="142" t="inlineStr">
        <is>
          <t>31.12.2024</t>
        </is>
      </c>
      <c r="D6" s="142" t="inlineStr">
        <is>
          <t>31.12.2025</t>
        </is>
      </c>
      <c r="E6" s="142" t="inlineStr">
        <is>
          <t>Δ</t>
        </is>
      </c>
      <c r="F6" s="141" t="n"/>
      <c r="G6" s="141" t="inlineStr">
        <is>
          <t>Engpass</t>
        </is>
      </c>
    </row>
    <row r="7" ht="18" customHeight="1" s="119">
      <c r="B7" s="127" t="inlineStr">
        <is>
          <t>Engineering / Product</t>
        </is>
      </c>
      <c r="C7" s="164" t="n">
        <v>3</v>
      </c>
      <c r="D7" s="164" t="n">
        <v>4</v>
      </c>
      <c r="E7" s="217">
        <f>D7-C7</f>
        <v/>
      </c>
      <c r="G7" s="147" t="inlineStr">
        <is>
          <t>Zwei Stellen offen – kritisch</t>
        </is>
      </c>
    </row>
    <row r="8" ht="18" customHeight="1" s="119">
      <c r="B8" s="125" t="inlineStr">
        <is>
          <t>Sales</t>
        </is>
      </c>
      <c r="C8" s="179" t="n">
        <v>2</v>
      </c>
      <c r="D8" s="179" t="n">
        <v>2</v>
      </c>
      <c r="E8" s="218">
        <f>D8-C8</f>
        <v/>
      </c>
      <c r="F8" s="175" t="n"/>
      <c r="G8" s="151" t="inlineStr">
        <is>
          <t>Kapazität ausgereizt</t>
        </is>
      </c>
    </row>
    <row r="9" ht="18" customHeight="1" s="119">
      <c r="B9" s="127" t="inlineStr">
        <is>
          <t>Customer Success</t>
        </is>
      </c>
      <c r="C9" s="164" t="n">
        <v>1</v>
      </c>
      <c r="D9" s="164" t="n">
        <v>2</v>
      </c>
      <c r="E9" s="217">
        <f>D9-C9</f>
        <v/>
      </c>
      <c r="G9" s="147" t="inlineStr">
        <is>
          <t>Onboarding-Lücke, Treiber des Churn</t>
        </is>
      </c>
    </row>
    <row r="10" ht="18" customHeight="1" s="119">
      <c r="B10" s="125" t="inlineStr">
        <is>
          <t>Marketing</t>
        </is>
      </c>
      <c r="C10" s="179" t="n">
        <v>1</v>
      </c>
      <c r="D10" s="179" t="n">
        <v>1</v>
      </c>
      <c r="E10" s="218">
        <f>D10-C10</f>
        <v/>
      </c>
      <c r="F10" s="175" t="n"/>
      <c r="G10" s="151" t="inlineStr">
        <is>
          <t>Zu wenig für die gesetzten Ziele</t>
        </is>
      </c>
    </row>
    <row r="11" ht="18" customHeight="1" s="119">
      <c r="B11" s="127" t="inlineStr">
        <is>
          <t>CEO / Ops</t>
        </is>
      </c>
      <c r="C11" s="164" t="n">
        <v>1</v>
      </c>
      <c r="D11" s="164" t="n">
        <v>1</v>
      </c>
      <c r="E11" s="217">
        <f>D11-C11</f>
        <v/>
      </c>
      <c r="G11" s="147" t="inlineStr">
        <is>
          <t>–</t>
        </is>
      </c>
    </row>
    <row r="12" ht="15" customHeight="1" s="119">
      <c r="B12" s="169" t="inlineStr">
        <is>
          <t>Gesamt (FTE)</t>
        </is>
      </c>
      <c r="C12" s="193">
        <f>SUM(C7:C11)</f>
        <v/>
      </c>
      <c r="D12" s="193">
        <f>SUM(D7:D11)</f>
        <v/>
      </c>
      <c r="E12" s="193">
        <f>D12-C12</f>
        <v/>
      </c>
    </row>
    <row r="14" ht="24" customHeight="1" s="119">
      <c r="B14" s="131" t="inlineStr">
        <is>
          <t>PERSONALKENNZAHLEN</t>
        </is>
      </c>
      <c r="C14" s="132" t="n"/>
      <c r="D14" s="132" t="n"/>
      <c r="E14" s="132" t="n"/>
      <c r="F14" s="132" t="n"/>
      <c r="G14" s="132" t="n"/>
    </row>
    <row r="15" ht="21.75" customHeight="1" s="119">
      <c r="B15" s="141" t="inlineStr">
        <is>
          <t>Kennzahl</t>
        </is>
      </c>
      <c r="C15" s="142" t="inlineStr">
        <is>
          <t>2025</t>
        </is>
      </c>
      <c r="D15" s="142" t="inlineStr">
        <is>
          <t>Benchmark</t>
        </is>
      </c>
      <c r="E15" s="143" t="inlineStr">
        <is>
          <t>Bewertung</t>
        </is>
      </c>
      <c r="F15" s="141" t="n"/>
      <c r="G15" s="141" t="inlineStr">
        <is>
          <t>Kommentar</t>
        </is>
      </c>
    </row>
    <row r="16" ht="18" customHeight="1" s="119">
      <c r="B16" s="127" t="inlineStr">
        <is>
          <t>Ø Personalbestand</t>
        </is>
      </c>
      <c r="C16" s="159" t="n">
        <v>9</v>
      </c>
      <c r="D16" s="158" t="n"/>
      <c r="G16" s="147" t="inlineStr">
        <is>
          <t>Durchschnitt über das Geschäftsjahr</t>
        </is>
      </c>
    </row>
    <row r="17" ht="18" customHeight="1" s="119">
      <c r="B17" s="125" t="inlineStr">
        <is>
          <t>Zugänge</t>
        </is>
      </c>
      <c r="C17" s="157" t="n">
        <v>4</v>
      </c>
      <c r="D17" s="156" t="n"/>
      <c r="E17" s="175" t="n"/>
      <c r="F17" s="175" t="n"/>
      <c r="G17" s="151" t="inlineStr">
        <is>
          <t>Schwerpunkt Engineering und Customer Success</t>
        </is>
      </c>
    </row>
    <row r="18" ht="18" customHeight="1" s="119">
      <c r="B18" s="127" t="inlineStr">
        <is>
          <t>Abgänge</t>
        </is>
      </c>
      <c r="C18" s="159" t="n">
        <v>2</v>
      </c>
      <c r="D18" s="158" t="n"/>
      <c r="G18" s="147" t="inlineStr">
        <is>
          <t>Beide aus dem Engineering-Team</t>
        </is>
      </c>
    </row>
    <row r="19" ht="18" customHeight="1" s="119">
      <c r="B19" s="125" t="inlineStr">
        <is>
          <t>Fluktuationsrate</t>
        </is>
      </c>
      <c r="C19" s="149" t="n">
        <v>0.22</v>
      </c>
      <c r="D19" s="148" t="n">
        <v>0.1</v>
      </c>
      <c r="E19" s="155" t="inlineStr">
        <is>
          <t>verfehlt</t>
        </is>
      </c>
      <c r="F19" s="175" t="n"/>
      <c r="G19" s="151" t="inlineStr">
        <is>
          <t>Zwei Abgänge bei durchschnittlich 9 FTE</t>
        </is>
      </c>
    </row>
    <row r="20" ht="18" customHeight="1" s="119">
      <c r="B20" s="127" t="inlineStr">
        <is>
          <t>Ø Arbeitgeberkosten je FTE</t>
        </is>
      </c>
      <c r="C20" s="145" t="n">
        <v>54400</v>
      </c>
      <c r="D20" s="144" t="n"/>
      <c r="G20" s="147" t="inlineStr">
        <is>
          <t>Marktüblich für Leipzig in dieser Phase</t>
        </is>
      </c>
    </row>
    <row r="21" ht="18" customHeight="1" s="119">
      <c r="B21" s="125" t="inlineStr">
        <is>
          <t>Personalaufwand gesamt</t>
        </is>
      </c>
      <c r="C21" s="161" t="n">
        <v>490000</v>
      </c>
      <c r="D21" s="160" t="n"/>
      <c r="E21" s="175" t="n"/>
      <c r="F21" s="175" t="n"/>
      <c r="G21" s="151" t="inlineStr">
        <is>
          <t>76 % des Gesamtaufwands</t>
        </is>
      </c>
    </row>
    <row r="22" ht="18" customHeight="1" s="119">
      <c r="B22" s="127" t="inlineStr">
        <is>
          <t>Remote-Anteil</t>
        </is>
      </c>
      <c r="C22" s="153" t="n">
        <v>0.6</v>
      </c>
      <c r="D22" s="152" t="n"/>
      <c r="G22" s="147" t="inlineStr">
        <is>
          <t>Flexibel, kein Zielwert</t>
        </is>
      </c>
    </row>
    <row r="25" ht="39.75" customHeight="1" s="119">
      <c r="B25" s="163" t="inlineStr">
        <is>
          <t>KRITISCHE ABHÄNGIGKEIT  Der CTO ist Single Point of Failure für die KI-Scoring-Engine. Die Scoring-Logik ist außerhalb seines Kopfes nicht dokumentiert. Sofortmaßnahme für 2026: strukturierter Wissenstransfer und vollständige technische Dokumentation.</t>
        </is>
      </c>
    </row>
  </sheetData>
  <mergeCells count="1">
    <mergeCell ref="B25:G25"/>
  </mergeCells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G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2" customWidth="1" style="118" min="1" max="1"/>
    <col width="30" customWidth="1" style="118" min="2" max="2"/>
    <col width="16" customWidth="1" style="118" min="3" max="3"/>
    <col width="30" customWidth="1" style="118" min="4" max="5"/>
    <col width="16" customWidth="1" style="118" min="6" max="6"/>
    <col width="30" customWidth="1" style="118" min="7" max="7"/>
  </cols>
  <sheetData>
    <row r="2" ht="30" customHeight="1" s="119">
      <c r="B2" s="129" t="inlineStr">
        <is>
          <t>Markt, Wettbewerb und Ausblick</t>
        </is>
      </c>
    </row>
    <row r="3" ht="15" customHeight="1" s="119">
      <c r="B3" s="130" t="inlineStr">
        <is>
          <t>Marktdaten aus öffentlichen Quellen · SWOT und Ziele 2026</t>
        </is>
      </c>
    </row>
    <row r="5" ht="24" customHeight="1" s="119">
      <c r="B5" s="131" t="inlineStr">
        <is>
          <t>MARKTUMFELD (RECHERCHIERTE REALDATEN)</t>
        </is>
      </c>
      <c r="C5" s="132" t="n"/>
      <c r="D5" s="132" t="n"/>
      <c r="E5" s="132" t="n"/>
      <c r="F5" s="132" t="n"/>
      <c r="G5" s="132" t="n"/>
    </row>
    <row r="6" ht="18" customHeight="1" s="119">
      <c r="B6" s="126" t="inlineStr">
        <is>
          <t>Europa, Cloud-CRM</t>
        </is>
      </c>
      <c r="C6" s="176" t="inlineStr">
        <is>
          <t>14,23 Mrd. USD Marktvolumen (2026), CAGR 5,23 %, Prognose 18,36 Mrd. USD bis 2031</t>
        </is>
      </c>
    </row>
    <row r="7" ht="18" customHeight="1" s="119">
      <c r="B7" s="126" t="inlineStr">
        <is>
          <t>Europa, CRM-SaaS</t>
        </is>
      </c>
      <c r="C7" s="176" t="inlineStr">
        <is>
          <t>CAGR 14,5 % (2025–2033), getrieben durch KI-Funktionen</t>
        </is>
      </c>
    </row>
    <row r="8" ht="18" customHeight="1" s="119">
      <c r="B8" s="126" t="inlineStr">
        <is>
          <t>Deutschland</t>
        </is>
      </c>
      <c r="C8" s="176" t="inlineStr">
        <is>
          <t>Größter CRM-Einzelmarkt Europas mit einem Anteil von 24,4 % (2025)</t>
        </is>
      </c>
    </row>
    <row r="10" ht="21.75" customHeight="1" s="119">
      <c r="B10" s="141" t="inlineStr">
        <is>
          <t>Anbieter</t>
        </is>
      </c>
      <c r="C10" s="142" t="inlineStr">
        <is>
          <t>Marktanteil</t>
        </is>
      </c>
      <c r="D10" s="141" t="inlineStr">
        <is>
          <t>Fokus</t>
        </is>
      </c>
      <c r="E10" s="141" t="inlineStr">
        <is>
          <t>Schwachstelle aus LeadPilot-Sicht</t>
        </is>
      </c>
      <c r="F10" s="141" t="n"/>
      <c r="G10" s="141" t="n"/>
    </row>
    <row r="11" ht="18" customHeight="1" s="119">
      <c r="B11" s="127" t="inlineStr">
        <is>
          <t>Brevo</t>
        </is>
      </c>
      <c r="C11" s="219" t="n">
        <v>0.294</v>
      </c>
      <c r="D11" s="147" t="inlineStr">
        <is>
          <t>E-Mail-Marketing-CRM</t>
        </is>
      </c>
      <c r="E11" s="147" t="inlineStr">
        <is>
          <t>Kein B2B-Pipeline-Fokus</t>
        </is>
      </c>
    </row>
    <row r="12" ht="18" customHeight="1" s="119">
      <c r="B12" s="125" t="inlineStr">
        <is>
          <t>Zendesk</t>
        </is>
      </c>
      <c r="C12" s="220" t="n">
        <v>0.235</v>
      </c>
      <c r="D12" s="151" t="inlineStr">
        <is>
          <t>Support und Service</t>
        </is>
      </c>
      <c r="E12" s="151" t="inlineStr">
        <is>
          <t>Kein Sales-Automation-Fokus</t>
        </is>
      </c>
    </row>
    <row r="13" ht="18" customHeight="1" s="119">
      <c r="B13" s="127" t="inlineStr">
        <is>
          <t>HubSpot</t>
        </is>
      </c>
      <c r="C13" s="219" t="n">
        <v>0.113</v>
      </c>
      <c r="D13" s="147" t="inlineStr">
        <is>
          <t>All-in-One, Marketing</t>
        </is>
      </c>
      <c r="E13" s="147" t="inlineStr">
        <is>
          <t>Zu komplex für reinen B2B-Vertrieb</t>
        </is>
      </c>
    </row>
    <row r="14" ht="18" customHeight="1" s="119">
      <c r="B14" s="125" t="inlineStr">
        <is>
          <t>Salesforce</t>
        </is>
      </c>
      <c r="C14" s="220" t="n">
        <v>0.08500000000000001</v>
      </c>
      <c r="D14" s="151" t="inlineStr">
        <is>
          <t>Enterprise-Standard</t>
        </is>
      </c>
      <c r="E14" s="151" t="inlineStr">
        <is>
          <t>Zu teuer und komplex für KMU</t>
        </is>
      </c>
    </row>
    <row r="15" ht="18" customHeight="1" s="119">
      <c r="B15" s="127" t="inlineStr">
        <is>
          <t>Pipedrive</t>
        </is>
      </c>
      <c r="C15" s="219" t="n">
        <v>0.016</v>
      </c>
      <c r="D15" s="147" t="inlineStr">
        <is>
          <t>Pipeline-Management B2B</t>
        </is>
      </c>
      <c r="E15" s="147" t="inlineStr">
        <is>
          <t>Kein natives KI-Scoring als Kernfunktion</t>
        </is>
      </c>
    </row>
    <row r="16" ht="18" customHeight="1" s="119">
      <c r="B16" s="221" t="inlineStr">
        <is>
          <t>LeadPilot</t>
        </is>
      </c>
      <c r="C16" s="222" t="n">
        <v>0.001</v>
      </c>
      <c r="D16" s="151" t="inlineStr">
        <is>
          <t>KI-Scoring und Schnelligkeit</t>
        </is>
      </c>
      <c r="E16" s="151" t="inlineStr">
        <is>
          <t>Markenbekanntheit fehlt vollständig</t>
        </is>
      </c>
    </row>
    <row r="18" ht="73.09999999999999" customHeight="1" s="119">
      <c r="B18" s="165" t="inlineStr">
        <is>
          <t>LeadPilots Marktanteil liegt unter 0,1 %. Angaben wie ein Share of Voice von mehreren Prozent im DACH-SaaS-Markt sind für ein Unternehmen dieser Größe nicht haltbar. Digitale Reichweite zum 31.12.2025: 1.400 LinkedIn-Follower, 620 Newsletter-Abonnenten, 2.900 Website-Besucher pro Monat, Domain Authority 14.</t>
        </is>
      </c>
    </row>
    <row r="21" ht="24" customHeight="1" s="119">
      <c r="B21" s="131" t="inlineStr">
        <is>
          <t>SWOT-ANALYSE ZUM 31.12.2025</t>
        </is>
      </c>
      <c r="C21" s="132" t="n"/>
      <c r="D21" s="132" t="n"/>
      <c r="E21" s="132" t="n"/>
      <c r="F21" s="132" t="n"/>
      <c r="G21" s="132" t="n"/>
    </row>
    <row r="22" ht="19.5" customHeight="1" s="119">
      <c r="B22" s="223" t="inlineStr">
        <is>
          <t>STÄRKEN</t>
        </is>
      </c>
      <c r="C22" s="224" t="n"/>
      <c r="D22" s="224" t="n"/>
      <c r="E22" s="225" t="inlineStr">
        <is>
          <t>SCHWÄCHEN</t>
        </is>
      </c>
      <c r="F22" s="226" t="n"/>
      <c r="G22" s="226" t="n"/>
    </row>
    <row r="23" ht="15.75" customHeight="1" s="119">
      <c r="B23" s="211" t="inlineStr">
        <is>
          <t>•  Fokussiertes Produkt mit klarem Nutzenversprechen</t>
        </is>
      </c>
      <c r="E23" s="211" t="inlineStr">
        <is>
          <t>•  Account-Churn von 2,8 % pro Monat, deutlich über Benchmark</t>
        </is>
      </c>
    </row>
    <row r="24" ht="15.75" customHeight="1" s="119">
      <c r="B24" s="211" t="inlineStr">
        <is>
          <t>•  DSGVO-native Architektur mit europäischem Hosting</t>
        </is>
      </c>
      <c r="E24" s="211" t="inlineStr">
        <is>
          <t>•  Onboarding zu langsam, Time-to-Value bei 11 Tagen</t>
        </is>
      </c>
    </row>
    <row r="25" ht="15.75" customHeight="1" s="119">
      <c r="B25" s="211" t="inlineStr">
        <is>
          <t>•  Schnelle Einführung ohne IT-Projekt beim Kunden</t>
        </is>
      </c>
      <c r="E25" s="211" t="inlineStr">
        <is>
          <t>•  Kernfeature KI-Scoring nur von 47 % genutzt</t>
        </is>
      </c>
    </row>
    <row r="26" ht="15.75" customHeight="1" s="119">
      <c r="B26" s="211" t="inlineStr">
        <is>
          <t>•  Solide Seed-Finanzierung und schuldenarme Bilanz</t>
        </is>
      </c>
      <c r="E26" s="211" t="inlineStr">
        <is>
          <t>•  CTO als Single Point of Failure</t>
        </is>
      </c>
    </row>
    <row r="27" ht="15.75" customHeight="1" s="119">
      <c r="B27" s="211" t="inlineStr">
        <is>
          <t>•  ARR-Verdopplung im zweiten Marktjahr</t>
        </is>
      </c>
      <c r="E27" s="211" t="inlineStr">
        <is>
          <t>•  LTV : CAC unter dem Benchmark von 3 : 1</t>
        </is>
      </c>
    </row>
    <row r="29" ht="19.5" customHeight="1" s="119">
      <c r="B29" s="227" t="inlineStr">
        <is>
          <t>CHANCEN</t>
        </is>
      </c>
      <c r="C29" s="132" t="n"/>
      <c r="D29" s="132" t="n"/>
      <c r="E29" s="228" t="inlineStr">
        <is>
          <t>RISIKEN</t>
        </is>
      </c>
      <c r="F29" s="229" t="n"/>
      <c r="G29" s="229" t="n"/>
    </row>
    <row r="30" ht="15.75" customHeight="1" s="119">
      <c r="B30" s="211" t="inlineStr">
        <is>
          <t>•  ICP-Schärfung hebt Churn und Deckungsbeitrag zugleich</t>
        </is>
      </c>
      <c r="E30" s="211" t="inlineStr">
        <is>
          <t>•  Anschlussfinanzierung bei nur 14 Monaten Runway</t>
        </is>
      </c>
    </row>
    <row r="31" ht="15.75" customHeight="1" s="119">
      <c r="B31" s="211" t="inlineStr">
        <is>
          <t>•  Product-Led Growth über einen geführten Trial-Flow</t>
        </is>
      </c>
      <c r="E31" s="211" t="inlineStr">
        <is>
          <t>•  KI-Funktionen von Pipedrive und HubSpot als Standard</t>
        </is>
      </c>
    </row>
    <row r="32" ht="15.75" customHeight="1" s="119">
      <c r="B32" s="211" t="inlineStr">
        <is>
          <t>•  Partnerkanal mit dem niedrigsten CAC ist kaum ausgebaut</t>
        </is>
      </c>
      <c r="E32" s="211" t="inlineStr">
        <is>
          <t>•  Steigende KI-API-Kosten drücken die Bruttomarge</t>
        </is>
      </c>
    </row>
    <row r="33" ht="15.75" customHeight="1" s="119">
      <c r="B33" s="211" t="inlineStr">
        <is>
          <t>•  Deutscher CRM-Markt wächst KI-getrieben zweistellig</t>
        </is>
      </c>
      <c r="E33" s="211" t="inlineStr">
        <is>
          <t>•  Fachkräftemangel im Engineering, zwei Stellen offen</t>
        </is>
      </c>
    </row>
    <row r="34" ht="15.75" customHeight="1" s="119">
      <c r="B34" s="211" t="inlineStr">
        <is>
          <t>•  Upselling Starter auf Growth bei 41 Bestandskunden</t>
        </is>
      </c>
      <c r="E34" s="211" t="inlineStr">
        <is>
          <t>•  Abhängigkeit von wenigen größeren Bestandskunden</t>
        </is>
      </c>
    </row>
    <row r="37" ht="24" customHeight="1" s="119">
      <c r="B37" s="131" t="inlineStr">
        <is>
          <t>ZIELE 2026</t>
        </is>
      </c>
      <c r="C37" s="132" t="n"/>
      <c r="D37" s="132" t="n"/>
      <c r="E37" s="132" t="n"/>
      <c r="F37" s="132" t="n"/>
      <c r="G37" s="132" t="n"/>
    </row>
    <row r="38" ht="21.75" customHeight="1" s="119">
      <c r="B38" s="141" t="inlineStr">
        <is>
          <t>Bereich</t>
        </is>
      </c>
      <c r="C38" s="141" t="inlineStr">
        <is>
          <t>Kennzahl</t>
        </is>
      </c>
      <c r="D38" s="142" t="inlineStr">
        <is>
          <t>Zielwert 2026</t>
        </is>
      </c>
      <c r="E38" s="142" t="inlineStr">
        <is>
          <t>Basis 2025</t>
        </is>
      </c>
      <c r="F38" s="141" t="inlineStr">
        <is>
          <t>Verantwortung</t>
        </is>
      </c>
      <c r="G38" s="141" t="n"/>
    </row>
    <row r="39" ht="18" customHeight="1" s="119">
      <c r="B39" s="230" t="inlineStr">
        <is>
          <t>Finanzen</t>
        </is>
      </c>
      <c r="C39" s="127" t="inlineStr">
        <is>
          <t>ARR</t>
        </is>
      </c>
      <c r="D39" s="145" t="n">
        <v>620000</v>
      </c>
      <c r="E39" s="144" t="n">
        <v>412000</v>
      </c>
      <c r="F39" s="147" t="inlineStr">
        <is>
          <t>CEO</t>
        </is>
      </c>
    </row>
    <row r="40" ht="18" customHeight="1" s="119">
      <c r="B40" s="231" t="inlineStr">
        <is>
          <t>Finanzen</t>
        </is>
      </c>
      <c r="C40" s="125" t="inlineStr">
        <is>
          <t>Burn Rate pro Monat</t>
        </is>
      </c>
      <c r="D40" s="161" t="n">
        <v>23000</v>
      </c>
      <c r="E40" s="160" t="n">
        <v>25750</v>
      </c>
      <c r="F40" s="151" t="inlineStr">
        <is>
          <t>CEO / Ops</t>
        </is>
      </c>
      <c r="G40" s="175" t="n"/>
    </row>
    <row r="41" ht="18" customHeight="1" s="119">
      <c r="B41" s="230" t="inlineStr">
        <is>
          <t>Kunden</t>
        </is>
      </c>
      <c r="C41" s="127" t="inlineStr">
        <is>
          <t>Account-Churn pro Monat</t>
        </is>
      </c>
      <c r="D41" s="153" t="n">
        <v>0.018</v>
      </c>
      <c r="E41" s="152" t="n">
        <v>0.028</v>
      </c>
      <c r="F41" s="147" t="inlineStr">
        <is>
          <t>Customer Success</t>
        </is>
      </c>
    </row>
    <row r="42" ht="18" customHeight="1" s="119">
      <c r="B42" s="231" t="inlineStr">
        <is>
          <t>Kunden</t>
        </is>
      </c>
      <c r="C42" s="125" t="inlineStr">
        <is>
          <t>Time-to-Value (Tage)</t>
        </is>
      </c>
      <c r="D42" s="157" t="n">
        <v>7</v>
      </c>
      <c r="E42" s="156" t="n">
        <v>11</v>
      </c>
      <c r="F42" s="151" t="inlineStr">
        <is>
          <t>Customer Success</t>
        </is>
      </c>
      <c r="G42" s="175" t="n"/>
    </row>
    <row r="43" ht="18" customHeight="1" s="119">
      <c r="B43" s="230" t="inlineStr">
        <is>
          <t>Kunden</t>
        </is>
      </c>
      <c r="C43" s="127" t="inlineStr">
        <is>
          <t>Aktive Kunden</t>
        </is>
      </c>
      <c r="D43" s="159" t="n">
        <v>95</v>
      </c>
      <c r="E43" s="158" t="n">
        <v>66</v>
      </c>
      <c r="F43" s="147" t="inlineStr">
        <is>
          <t>CEO</t>
        </is>
      </c>
    </row>
    <row r="44" ht="18" customHeight="1" s="119">
      <c r="B44" s="231" t="inlineStr">
        <is>
          <t>Vertrieb</t>
        </is>
      </c>
      <c r="C44" s="125" t="inlineStr">
        <is>
          <t>Trial-to-Paid</t>
        </is>
      </c>
      <c r="D44" s="149" t="n">
        <v>0.26</v>
      </c>
      <c r="E44" s="148" t="n">
        <v>0.18</v>
      </c>
      <c r="F44" s="151" t="inlineStr">
        <is>
          <t>Head of Sales</t>
        </is>
      </c>
      <c r="G44" s="175" t="n"/>
    </row>
    <row r="45" ht="18" customHeight="1" s="119">
      <c r="B45" s="230" t="inlineStr">
        <is>
          <t>Vertrieb</t>
        </is>
      </c>
      <c r="C45" s="127" t="inlineStr">
        <is>
          <t>LTV : CAC</t>
        </is>
      </c>
      <c r="D45" s="232" t="n">
        <v>3.5</v>
      </c>
      <c r="E45" s="233" t="n">
        <v>2.7</v>
      </c>
      <c r="F45" s="147" t="inlineStr">
        <is>
          <t>CEO</t>
        </is>
      </c>
    </row>
    <row r="46" ht="18" customHeight="1" s="119">
      <c r="B46" s="231" t="inlineStr">
        <is>
          <t>Produkt</t>
        </is>
      </c>
      <c r="C46" s="125" t="inlineStr">
        <is>
          <t>Nutzung KI-Scoring</t>
        </is>
      </c>
      <c r="D46" s="149" t="n">
        <v>0.65</v>
      </c>
      <c r="E46" s="148" t="n">
        <v>0.47</v>
      </c>
      <c r="F46" s="151" t="inlineStr">
        <is>
          <t>CTO</t>
        </is>
      </c>
      <c r="G46" s="175" t="n"/>
    </row>
    <row r="47" ht="18" customHeight="1" s="119">
      <c r="B47" s="230" t="inlineStr">
        <is>
          <t>Team</t>
        </is>
      </c>
      <c r="C47" s="127" t="inlineStr">
        <is>
          <t>Headcount (FTE)</t>
        </is>
      </c>
      <c r="D47" s="159" t="n">
        <v>12</v>
      </c>
      <c r="E47" s="158" t="n">
        <v>10</v>
      </c>
      <c r="F47" s="147" t="inlineStr">
        <is>
          <t>CEO</t>
        </is>
      </c>
    </row>
    <row r="49" ht="37.3" customHeight="1" s="119">
      <c r="B49" s="165" t="inlineStr">
        <is>
          <t>Abgeleitete Planung 2026: 46 Neukunden, 17 Kündigungen, 95 aktive Kunden zum 31.12.2026 bei einem durchschnittlichen ARPA von 544 €.</t>
        </is>
      </c>
    </row>
  </sheetData>
  <mergeCells count="29">
    <mergeCell ref="E13:G13"/>
    <mergeCell ref="C6:G6"/>
    <mergeCell ref="B23:D23"/>
    <mergeCell ref="E31:G31"/>
    <mergeCell ref="E34:G34"/>
    <mergeCell ref="E30:G30"/>
    <mergeCell ref="E15:G15"/>
    <mergeCell ref="B34:D34"/>
    <mergeCell ref="E11:G11"/>
    <mergeCell ref="E27:G27"/>
    <mergeCell ref="E26:G26"/>
    <mergeCell ref="B30:D30"/>
    <mergeCell ref="E25:G25"/>
    <mergeCell ref="B24:D24"/>
    <mergeCell ref="E16:G16"/>
    <mergeCell ref="B33:D33"/>
    <mergeCell ref="E32:G32"/>
    <mergeCell ref="B32:D32"/>
    <mergeCell ref="B26:D26"/>
    <mergeCell ref="E12:G12"/>
    <mergeCell ref="B25:D25"/>
    <mergeCell ref="C8:G8"/>
    <mergeCell ref="E24:G24"/>
    <mergeCell ref="C7:G7"/>
    <mergeCell ref="E33:G33"/>
    <mergeCell ref="E14:G14"/>
    <mergeCell ref="B31:D31"/>
    <mergeCell ref="E23:G23"/>
    <mergeCell ref="B27:D27"/>
  </mergeCells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2026-07-31T15:49:58Z</dcterms:created>
  <dcterms:modified xmlns:dcterms="http://purl.org/dc/terms/" xmlns:xsi="http://www.w3.org/2001/XMLSchema-instance" xsi:type="dcterms:W3CDTF">2026-08-02T22:31:17Z</dcterms:modified>
  <cp:revision>1</cp:revision>
</cp:coreProperties>
</file>