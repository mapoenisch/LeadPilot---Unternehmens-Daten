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instieg" sheetId="1" state="visible" r:id="rId3"/>
    <sheet name="Dashboard" sheetId="2" state="visible" r:id="rId4"/>
    <sheet name="Kontakte" sheetId="3" state="visible" r:id="rId5"/>
    <sheet name="Unternehmen" sheetId="4" state="visible" r:id="rId6"/>
    <sheet name="Opportunities" sheetId="5" state="visible" r:id="rId7"/>
    <sheet name="Interaktionen" sheetId="6" state="visible" r:id="rId8"/>
    <sheet name="Rahmenbedingungen" sheetId="7" state="visible" r:id="rId9"/>
  </sheets>
  <definedNames>
    <definedName function="false" hidden="true" localSheetId="5" name="_xlnm._FilterDatabase" vbProcedure="false">Interaktionen!$B$3:$L$30</definedName>
    <definedName function="false" hidden="true" localSheetId="2" name="_xlnm._FilterDatabase" vbProcedure="false">Kontakte!$B$3:$B$28</definedName>
    <definedName function="false" hidden="true" localSheetId="4" name="_xlnm._FilterDatabase" vbProcedure="false">Opportunities!$B$3:$L$27</definedName>
    <definedName function="false" hidden="true" localSheetId="3" name="_xlnm._FilterDatabase" vbProcedure="false">Unternehmen!$B$3:$B$25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Add any tags in this column to help you quickly identify different entries
</t>
        </r>
      </text>
    </comment>
    <comment ref="G3" authorId="0">
      <text>
        <r>
          <rPr>
            <sz val="10"/>
            <rFont val="Arial"/>
            <family val="2"/>
          </rPr>
          <t xml:space="preserve">Siehe Tab "Rahmenbedingungen"</t>
        </r>
      </text>
    </comment>
  </commentList>
</comments>
</file>

<file path=xl/sharedStrings.xml><?xml version="1.0" encoding="utf-8"?>
<sst xmlns="http://schemas.openxmlformats.org/spreadsheetml/2006/main" count="1116" uniqueCount="471">
  <si>
    <t xml:space="preserve">ERSTE SCHRITTE MIT DEM</t>
  </si>
  <si>
    <t xml:space="preserve">CUSTOMER-RELATIONSHIP-
MANAGER-BERICHT</t>
  </si>
  <si>
    <t xml:space="preserve">Wenn Sie auf der Suche nach einem System sind, mit dem sich Ihre Kontakte organisieren, Verkaufsprozesse konkretisieren und einige Ihrer laufenden Aufgaben automatisieren lassen, ist eine Customer-Relationship-Management-Lösung genau das Richtige für Sie. Diese Vorlage bietet Ihnen die Customer-Relationship-Manager-Grundlagen und eignet sich hervorragend für einen Einstieg, wenn Sie lieber noch kein fortgeschrittenes Customer-Relationship-Manager-System mit erweiterten Funktionen nutzen möchten. Sie ist sozusagen eine Customer-Relationship-Manager-
Miniversion, die Änderungen automatisch speichert, sodass Ihnen niemals Daten verloren gehen. Für den Anfang können Sie Ihre Kontakte entweder manuell in die Tabellen eingeben oder vorhandene Daten kopieren und in die Tabelle einfügen.</t>
  </si>
  <si>
    <t xml:space="preserve">So verwenden Sie die Vorlage:</t>
  </si>
  <si>
    <t xml:space="preserve">Gehen Sie beim erstmaligen Einrichten der Customer-Relationship-Manager-
Miniversion zum Tab "Rahmenbedingungen" und definieren Sie dort Kategorien für Merkmale wie den Kontakttyp bei Personen oder die Phase bei Geschäftschancen.</t>
  </si>
  <si>
    <t xml:space="preserve">Halten Sie den Customer-Relationship-
Manager auf dem neuesten Stand, indem Sie in den Tabellen "Personen", "Unternehmen" und "Geschäftschancen" Zeilen aktualisieren oder hinzufügen.
</t>
  </si>
  <si>
    <t xml:space="preserve">Nutzen Sie den Customer-Relationship-
Manager, um Ihre Zielsetzungen auf täglicher, wöchentlicher und monatlicher Basis festzuhalten. Das "Dashboard" bietet eine Zusammenfassung Ihrer Vertriebspipeline und hilft Ihnen so dabei, eventuelle nächste Schritte zu planen.</t>
  </si>
  <si>
    <t xml:space="preserve">Hier finden Sie eine detaillierte Beschreibung der unten auf dem Tabellenblatt angezeigten Tabs.</t>
  </si>
  <si>
    <t xml:space="preserve">Dashboard</t>
  </si>
  <si>
    <t xml:space="preserve">Den Dashboard-Tab können Sie sich als Steuerfeld für Ihre Geschäftschancen vorstellen. Ihnen werden folgende Informationen angezeigt: 
- Gesamtwert all Ihrer Geschäftschancen 
- Gesamtzahl der Personen, Unternehmen und Geschäftschancen in diesem Customer-Relationship-Manager 
- Zahl und Wert der Geschäftschancen pro Phase 
Dies ist ein guter Ausgangspunkt für das Festhalten Ihrer täglichen Ziele.</t>
  </si>
  <si>
    <t xml:space="preserve">Personen</t>
  </si>
  <si>
    <t xml:space="preserve">Als Person gilt hier jemand, mit dem Sie bereits Geschäfte tätigen. Dabei kann es sich um einen aktuellen bzw. potenziellen Kunden oder irgendeinen anderen Typ von Kontakt oder Beziehung handeln. Die Person vertritt hier ein Unternehmen, mit dem Sie Geschäfte tätigen möchten.</t>
  </si>
  <si>
    <t xml:space="preserve">Unternehmen</t>
  </si>
  <si>
    <t xml:space="preserve">Ein Unternehmen ist eine Organisationseinheit, mit der Sie bereits oder vielleicht in naher Zukunft Geschäfte tätigen. Wir stellen uns das Unternehmen gerne als das Gebäude vor, in dem die Personen arbeiten, mit denen Sie Geschäfte tätigen. Der Unternehmensdatensatz stellt den Datensatz der höchsten Ebene dar, an dem wir andere Datensätze wie Personen oder Geschäftschancen ausrichten.</t>
  </si>
  <si>
    <t xml:space="preserve">Geschäftschancen</t>
  </si>
  <si>
    <t xml:space="preserve">Bei einer Geschäftschance handelt es sich um jede Art einer Geschäftsentwicklungsbemühung, die Sie nachverfolgen und im Laufe eines Prozesses vorantreiben möchten. Sie kann auch als "Deal" oder "Verkauf" bezeichnet werden. Eine Geschäftschance können der Verkauf eines Produkts, Dienste betreffende Abrechnungen oder eine Aktivität sein, die keinen direkten Geldwert hat – z. B. die Ausweitung Ihrer Berichterstattung.</t>
  </si>
  <si>
    <t xml:space="preserve">Rahmenbedingungen</t>
  </si>
  <si>
    <t xml:space="preserve">Hier können Sie folgende, die Datenregeln in Ihrer Tabelle bestimmende Elemente definieren: 
- Kontakttyp für Personen und Unternehmen 
- Phase, Status, Quelle und Grund des Scheiterns von Geschäftschancen 
Es liegt in Ihrem Interesse, die Angaben genauestens an die Bedürfnisse Ihrer Unternehmensprozesse anzupassen.</t>
  </si>
  <si>
    <t xml:space="preserve">PIPELINE-WERT (aktiv)</t>
  </si>
  <si>
    <t xml:space="preserve">GESAMTZAHL DER </t>
  </si>
  <si>
    <t xml:space="preserve">davon bereits gewonnen</t>
  </si>
  <si>
    <t xml:space="preserve">gewichtete offene Pipeline</t>
  </si>
  <si>
    <t xml:space="preserve">Phase</t>
  </si>
  <si>
    <t xml:space="preserve">Anzahl</t>
  </si>
  <si>
    <t xml:space="preserve">Bestätigt</t>
  </si>
  <si>
    <t xml:space="preserve">Nachverfolgung</t>
  </si>
  <si>
    <t xml:space="preserve">Präsentation</t>
  </si>
  <si>
    <t xml:space="preserve">Verhandlung</t>
  </si>
  <si>
    <t xml:space="preserve">Vertrag gesendet</t>
  </si>
  <si>
    <t xml:space="preserve">Gesamtwert</t>
  </si>
  <si>
    <t xml:space="preserve">Hinweis  Dieses CRM bildet die aktive Vertriebspipeline zum Stand Juli 2026 ab, nicht den gesamten Kundenbestand. LeadPilot betreut zum 31.12.2025 insgesamt 66 zahlende Accounts. Der Pipeline-Wert enthält weder gescheiterte noch abgebrochene Geschäftschancen. Verbindliche Preis- und Bestandsdaten: LeadPilot Faktenblatt v1.1.</t>
  </si>
  <si>
    <t xml:space="preserve">Copper-Tipp ➜</t>
  </si>
  <si>
    <t xml:space="preserve">Als Person gilt hier jemand, mit dem Sie bereits Geschäfte tätigen. 
Dabei kann es sich um einen aktuellen bzw. potenziellen Kunden oder irgendeinen anderen Kontakttyp handeln. 
Die Person vertritt hier ein Unternehmen, mit dem Sie Geschäfte tätigen möchten.</t>
  </si>
  <si>
    <t xml:space="preserve">Tag</t>
  </si>
  <si>
    <t xml:space="preserve">Name</t>
  </si>
  <si>
    <t xml:space="preserve">E-Mail (geschäftlich)</t>
  </si>
  <si>
    <t xml:space="preserve">Funktion</t>
  </si>
  <si>
    <t xml:space="preserve">Kontakttyp</t>
  </si>
  <si>
    <t xml:space="preserve">Telefon (geschäftlich)</t>
  </si>
  <si>
    <t xml:space="preserve">Website (geschäftlich)</t>
  </si>
  <si>
    <t xml:space="preserve">Adresse</t>
  </si>
  <si>
    <t xml:space="preserve">Stadt</t>
  </si>
  <si>
    <t xml:space="preserve">PLZ</t>
  </si>
  <si>
    <t xml:space="preserve">LinkedIn</t>
  </si>
  <si>
    <t xml:space="preserve">Beschreibung</t>
  </si>
  <si>
    <t xml:space="preserve">Michael Voss</t>
  </si>
  <si>
    <t xml:space="preserve">Voss Antriebstechnik GmbH</t>
  </si>
  <si>
    <t xml:space="preserve">Vertriebsleiter</t>
  </si>
  <si>
    <t xml:space="preserve">Aktueller Kunde</t>
  </si>
  <si>
    <t xml:space="preserve">0711-4521100</t>
  </si>
  <si>
    <t xml:space="preserve">www.voss-antriebstechnik.de</t>
  </si>
  <si>
    <t xml:space="preserve">Industriestraße 14</t>
  </si>
  <si>
    <t xml:space="preserve">Stuttgart</t>
  </si>
  <si>
    <t xml:space="preserve">Vertriebsleiter bei Voss Antriebstechnik GmbH, zuständig für Entscheidungen rund um Vertriebssoftware.</t>
  </si>
  <si>
    <t xml:space="preserve">Petra Rehbach</t>
  </si>
  <si>
    <t xml:space="preserve">Rehbach Fördertechnik GmbH</t>
  </si>
  <si>
    <t xml:space="preserve">Head of Sales</t>
  </si>
  <si>
    <t xml:space="preserve">Potenzieller Kunde</t>
  </si>
  <si>
    <t xml:space="preserve">0711-9834520</t>
  </si>
  <si>
    <t xml:space="preserve">www.rehbach-foerdertechnik.de</t>
  </si>
  <si>
    <t xml:space="preserve">Werkstattweg 8</t>
  </si>
  <si>
    <t xml:space="preserve">Esslingen am Neckar</t>
  </si>
  <si>
    <t xml:space="preserve">Head of Sales bei Rehbach Fördertechnik GmbH, zuständig für Entscheidungen rund um Vertriebssoftware.</t>
  </si>
  <si>
    <t xml:space="preserve">Erstkontakt</t>
  </si>
  <si>
    <t xml:space="preserve">Frank Kessler</t>
  </si>
  <si>
    <t xml:space="preserve">Kessler Präzisionswerk GmbH</t>
  </si>
  <si>
    <t xml:space="preserve">Geschäftsführer</t>
  </si>
  <si>
    <t xml:space="preserve">07121-558430</t>
  </si>
  <si>
    <t xml:space="preserve">www.kessler-praezision.de</t>
  </si>
  <si>
    <t xml:space="preserve">Am Steinbruch 3</t>
  </si>
  <si>
    <t xml:space="preserve">Reutlingen</t>
  </si>
  <si>
    <t xml:space="preserve">Geschäftsführer bei Kessler Präzisionswerk GmbH, zuständig für Entscheidungen rund um Vertriebssoftware.</t>
  </si>
  <si>
    <t xml:space="preserve">Upselling</t>
  </si>
  <si>
    <t xml:space="preserve">Claudia Brenner</t>
  </si>
  <si>
    <t xml:space="preserve">Brenner Hydraulik AG</t>
  </si>
  <si>
    <t xml:space="preserve">Vertriebsleiterin</t>
  </si>
  <si>
    <t xml:space="preserve">07721-609870</t>
  </si>
  <si>
    <t xml:space="preserve">www.brenner-hydraulik.de</t>
  </si>
  <si>
    <t xml:space="preserve">Hydraulikring 5</t>
  </si>
  <si>
    <t xml:space="preserve">Villingen-Schwenningen</t>
  </si>
  <si>
    <t xml:space="preserve">Vertriebsleiterin bei Brenner Hydraulik AG, zuständig für Entscheidungen rund um Vertriebssoftware.</t>
  </si>
  <si>
    <t xml:space="preserve">Stefan Nordmeyer</t>
  </si>
  <si>
    <t xml:space="preserve">Nordmeyer Maschinenbau GmbH &amp; Co. KG</t>
  </si>
  <si>
    <t xml:space="preserve">Leiter Vertriebsinnendienst</t>
  </si>
  <si>
    <t xml:space="preserve">0521-772340</t>
  </si>
  <si>
    <t xml:space="preserve">www.nordmeyer-maschinenbau.de</t>
  </si>
  <si>
    <t xml:space="preserve">Ravensberger Straße 22</t>
  </si>
  <si>
    <t xml:space="preserve">Bielefeld</t>
  </si>
  <si>
    <t xml:space="preserve">Leiter Vertriebsinnendienst bei Nordmeyer Maschinenbau GmbH &amp; Co. KG, zuständig für Entscheidungen rund um Vertriebssoftware.</t>
  </si>
  <si>
    <t xml:space="preserve">In Kürze</t>
  </si>
  <si>
    <t xml:space="preserve">Robert Falkenrath</t>
  </si>
  <si>
    <t xml:space="preserve">Falkenrath Werkzeugmaschinen GmbH</t>
  </si>
  <si>
    <t xml:space="preserve">Sonstiger</t>
  </si>
  <si>
    <t xml:space="preserve">0371-458820</t>
  </si>
  <si>
    <t xml:space="preserve">www.falkenrath-wzm.de</t>
  </si>
  <si>
    <t xml:space="preserve">Fabrikstraße 61</t>
  </si>
  <si>
    <t xml:space="preserve">Chemnitz</t>
  </si>
  <si>
    <t xml:space="preserve">Geschäftsführer bei Falkenrath Werkzeugmaschinen GmbH, zuständig für Entscheidungen rund um Vertriebssoftware.</t>
  </si>
  <si>
    <t xml:space="preserve">Bestandskunde</t>
  </si>
  <si>
    <t xml:space="preserve">Anna Corvin</t>
  </si>
  <si>
    <t xml:space="preserve">Corvion Software GmbH</t>
  </si>
  <si>
    <t xml:space="preserve">030-2345678</t>
  </si>
  <si>
    <t xml:space="preserve">www.corvion-software.de</t>
  </si>
  <si>
    <t xml:space="preserve">Torstraße 101</t>
  </si>
  <si>
    <t xml:space="preserve">Berlin</t>
  </si>
  <si>
    <t xml:space="preserve">Head of Sales bei Corvion Software GmbH, zuständig für Entscheidungen rund um Vertriebssoftware.</t>
  </si>
  <si>
    <t xml:space="preserve">Julia Bittner</t>
  </si>
  <si>
    <t xml:space="preserve">Bittner IT-Solutions GmbH</t>
  </si>
  <si>
    <t xml:space="preserve">089-5567234</t>
  </si>
  <si>
    <t xml:space="preserve">www.bittner-it.de</t>
  </si>
  <si>
    <t xml:space="preserve">Rosenheimer Straße 47</t>
  </si>
  <si>
    <t xml:space="preserve">München</t>
  </si>
  <si>
    <t xml:space="preserve">Vertriebsleiterin bei Bittner IT-Solutions GmbH, zuständig für Entscheidungen rund um Vertriebssoftware.</t>
  </si>
  <si>
    <t xml:space="preserve">Kevin Pauls</t>
  </si>
  <si>
    <t xml:space="preserve">Pixelwerk Digital GmbH</t>
  </si>
  <si>
    <t xml:space="preserve">Gründer &amp; Geschäftsführer</t>
  </si>
  <si>
    <t xml:space="preserve">040-3345621</t>
  </si>
  <si>
    <t xml:space="preserve">www.pixelwerk-digital.de</t>
  </si>
  <si>
    <t xml:space="preserve">Hafenallee 9</t>
  </si>
  <si>
    <t xml:space="preserve">Hamburg</t>
  </si>
  <si>
    <t xml:space="preserve">Gründer &amp; Geschäftsführer bei Pixelwerk Digital GmbH, zuständig für Entscheidungen rund um Vertriebssoftware.</t>
  </si>
  <si>
    <t xml:space="preserve">Nadine Kurz</t>
  </si>
  <si>
    <t xml:space="preserve">Nexora Systems GmbH</t>
  </si>
  <si>
    <t xml:space="preserve">Sales Managerin</t>
  </si>
  <si>
    <t xml:space="preserve">0221-9987654</t>
  </si>
  <si>
    <t xml:space="preserve">www.nexora-systems.de</t>
  </si>
  <si>
    <t xml:space="preserve">Rheinauhafen 12</t>
  </si>
  <si>
    <t xml:space="preserve">Köln</t>
  </si>
  <si>
    <t xml:space="preserve">Sales Managerin bei Nexora Systems GmbH, zuständig für Entscheidungen rund um Vertriebssoftware.</t>
  </si>
  <si>
    <t xml:space="preserve">Tobias Vogt</t>
  </si>
  <si>
    <t xml:space="preserve">Vantis Cloud Services GmbH</t>
  </si>
  <si>
    <t xml:space="preserve">0341-2213456</t>
  </si>
  <si>
    <t xml:space="preserve">www.vantis-cloud.de</t>
  </si>
  <si>
    <t xml:space="preserve">Karl-Liebknecht-Straße 30</t>
  </si>
  <si>
    <t xml:space="preserve">Leipzig</t>
  </si>
  <si>
    <t xml:space="preserve">Geschäftsführer bei Vantis Cloud Services GmbH, zuständig für Entscheidungen rund um Vertriebssoftware.</t>
  </si>
  <si>
    <t xml:space="preserve">Sabine Dornbach</t>
  </si>
  <si>
    <t xml:space="preserve">Dornbach IT Consulting GmbH</t>
  </si>
  <si>
    <t xml:space="preserve">Partnerin</t>
  </si>
  <si>
    <t xml:space="preserve">069-8834521</t>
  </si>
  <si>
    <t xml:space="preserve">www.dornbach-consulting.de</t>
  </si>
  <si>
    <t xml:space="preserve">Mainzer Landstraße 250</t>
  </si>
  <si>
    <t xml:space="preserve">Frankfurt am Main</t>
  </si>
  <si>
    <t xml:space="preserve">Partnerin bei Dornbach IT Consulting GmbH, zuständig für Entscheidungen rund um Vertriebssoftware.</t>
  </si>
  <si>
    <t xml:space="preserve">Markus Reimann</t>
  </si>
  <si>
    <t xml:space="preserve">Reimann Großhandel GmbH</t>
  </si>
  <si>
    <t xml:space="preserve">0231-556723</t>
  </si>
  <si>
    <t xml:space="preserve">www.reimann-grosshandel.de</t>
  </si>
  <si>
    <t xml:space="preserve">Speicherstraße 18</t>
  </si>
  <si>
    <t xml:space="preserve">Dortmund</t>
  </si>
  <si>
    <t xml:space="preserve">Vertriebsleiter bei Reimann Großhandel GmbH, zuständig für Entscheidungen rund um Vertriebssoftware.</t>
  </si>
  <si>
    <t xml:space="preserve">Susanne Kaltenbach</t>
  </si>
  <si>
    <t xml:space="preserve">Kaltenbach Baustoffhandel GmbH</t>
  </si>
  <si>
    <t xml:space="preserve">0621-778234</t>
  </si>
  <si>
    <t xml:space="preserve">www.kaltenbach-baustoff.de</t>
  </si>
  <si>
    <t xml:space="preserve">Industriekai 4</t>
  </si>
  <si>
    <t xml:space="preserve">Mannheim</t>
  </si>
  <si>
    <t xml:space="preserve">Head of Sales bei Kaltenbach Baustoffhandel GmbH, zuständig für Entscheidungen rund um Vertriebssoftware.</t>
  </si>
  <si>
    <t xml:space="preserve">Heiko Nordfrost</t>
  </si>
  <si>
    <t xml:space="preserve">Nordfrost Getränkehandel GmbH</t>
  </si>
  <si>
    <t xml:space="preserve">0421-334521</t>
  </si>
  <si>
    <t xml:space="preserve">www.nordfrost-getraenke.de</t>
  </si>
  <si>
    <t xml:space="preserve">Überseering 6</t>
  </si>
  <si>
    <t xml:space="preserve">Bremen</t>
  </si>
  <si>
    <t xml:space="preserve">Vertriebsleiter bei Nordfrost Getränkehandel GmbH, zuständig für Entscheidungen rund um Vertriebssoftware.</t>
  </si>
  <si>
    <t xml:space="preserve">Katrin Ostmann</t>
  </si>
  <si>
    <t xml:space="preserve">Ostmann Elektrogroßhandel GmbH</t>
  </si>
  <si>
    <t xml:space="preserve">Leiterin Vertriebsinnendienst</t>
  </si>
  <si>
    <t xml:space="preserve">0511-667234</t>
  </si>
  <si>
    <t xml:space="preserve">www.ostmann-elektro.de</t>
  </si>
  <si>
    <t xml:space="preserve">Vahrenwalder Straße 205</t>
  </si>
  <si>
    <t xml:space="preserve">Hannover</t>
  </si>
  <si>
    <t xml:space="preserve">Leiterin Vertriebsinnendienst bei Ostmann Elektrogroßhandel GmbH, zuständig für Entscheidungen rund um Vertriebssoftware.</t>
  </si>
  <si>
    <t xml:space="preserve">Dirk Wendland</t>
  </si>
  <si>
    <t xml:space="preserve">Wendland Agrarhandel GmbH</t>
  </si>
  <si>
    <t xml:space="preserve">0391-445621</t>
  </si>
  <si>
    <t xml:space="preserve">www.wendland-agrar.de</t>
  </si>
  <si>
    <t xml:space="preserve">Kathedralstraße 9</t>
  </si>
  <si>
    <t xml:space="preserve">Magdeburg</t>
  </si>
  <si>
    <t xml:space="preserve">Geschäftsführer bei Wendland Agrarhandel GmbH, zuständig für Entscheidungen rund um Vertriebssoftware.</t>
  </si>
  <si>
    <t xml:space="preserve">Lea Kreativ</t>
  </si>
  <si>
    <t xml:space="preserve">Kreativkraft Werbeagentur GmbH</t>
  </si>
  <si>
    <t xml:space="preserve">Geschäftsführerin</t>
  </si>
  <si>
    <t xml:space="preserve">0211-887234</t>
  </si>
  <si>
    <t xml:space="preserve">www.kreativkraft-agentur.de</t>
  </si>
  <si>
    <t xml:space="preserve">Kö-Bogen 3</t>
  </si>
  <si>
    <t xml:space="preserve">Düsseldorf</t>
  </si>
  <si>
    <t xml:space="preserve">Geschäftsführerin bei Kreativkraft Werbeagentur GmbH, zuständig für Entscheidungen rund um Vertriebssoftware.</t>
  </si>
  <si>
    <t xml:space="preserve">Simon Blau</t>
  </si>
  <si>
    <t xml:space="preserve">Blaupause Kommunikation GmbH</t>
  </si>
  <si>
    <t xml:space="preserve">0911-556234</t>
  </si>
  <si>
    <t xml:space="preserve">www.blaupause-kommunikation.de</t>
  </si>
  <si>
    <t xml:space="preserve">Königstraße 55</t>
  </si>
  <si>
    <t xml:space="preserve">Nürnberg</t>
  </si>
  <si>
    <t xml:space="preserve">Gründer &amp; Geschäftsführer bei Blaupause Kommunikation GmbH, zuständig für Entscheidungen rund um Vertriebssoftware.</t>
  </si>
  <si>
    <t xml:space="preserve">Nina Funke</t>
  </si>
  <si>
    <t xml:space="preserve">Funkeis Markenagentur GmbH</t>
  </si>
  <si>
    <t xml:space="preserve">0341-778934</t>
  </si>
  <si>
    <t xml:space="preserve">www.funkeis-marken.de</t>
  </si>
  <si>
    <t xml:space="preserve">Nikolaistraße 15</t>
  </si>
  <si>
    <t xml:space="preserve">Geschäftsführerin bei Funkeis Markenagentur GmbH, zuständig für Entscheidungen rund um Vertriebssoftware.</t>
  </si>
  <si>
    <t xml:space="preserve">Paul Aurelius</t>
  </si>
  <si>
    <t xml:space="preserve">Aurora Media Group GmbH</t>
  </si>
  <si>
    <t xml:space="preserve">0221-334521</t>
  </si>
  <si>
    <t xml:space="preserve">www.aurora-media-group.de</t>
  </si>
  <si>
    <t xml:space="preserve">Ehrenstraße 88</t>
  </si>
  <si>
    <t xml:space="preserve">Head of Sales bei Aurora Media Group GmbH, zuständig für Entscheidungen rund um Vertriebssoftware.</t>
  </si>
  <si>
    <t xml:space="preserve">Merle Nord</t>
  </si>
  <si>
    <t xml:space="preserve">Studio Nordlicht GmbH</t>
  </si>
  <si>
    <t xml:space="preserve">Gründerin</t>
  </si>
  <si>
    <t xml:space="preserve">0431-667823</t>
  </si>
  <si>
    <t xml:space="preserve">www.studio-nordlicht.de</t>
  </si>
  <si>
    <t xml:space="preserve">Holstenstraße 41</t>
  </si>
  <si>
    <t xml:space="preserve">Kiel</t>
  </si>
  <si>
    <t xml:space="preserve">Gründerin bei Studio Nordlicht GmbH, zuständig für Entscheidungen rund um Vertriebssoftware.</t>
  </si>
  <si>
    <t xml:space="preserve">Daniel Wagner</t>
  </si>
  <si>
    <t xml:space="preserve">Vertriebsmitarbeiter</t>
  </si>
  <si>
    <t xml:space="preserve">Vertriebsmitarbeiter bei Rehbach Fördertechnik GmbH, zuständig für Entscheidungen rund um Vertriebssoftware.</t>
  </si>
  <si>
    <t xml:space="preserve">Melanie Groß</t>
  </si>
  <si>
    <t xml:space="preserve">Einkaufsleiterin</t>
  </si>
  <si>
    <t xml:space="preserve">Einkaufsleiterin bei Kaltenbach Baustoffhandel GmbH, zuständig für Entscheidungen rund um Vertriebssoftware.</t>
  </si>
  <si>
    <t xml:space="preserve">Oliver Stein</t>
  </si>
  <si>
    <t xml:space="preserve">IT-Administrator</t>
  </si>
  <si>
    <t xml:space="preserve">IT-Administrator bei Nordfrost Getränkehandel GmbH, zuständig für Entscheidungen rund um Vertriebssoftware.</t>
  </si>
  <si>
    <t xml:space="preserve">Ein Unternehmen ist eine Organisationseinheit, mit der Sie bereits oder vielleicht in naher Zukunft Geschäfte tätigen. 
Sie können durch die Verwendung von Tags verschiedene Unternehmen gruppieren, damit sie sich später leichter filtern lassen.</t>
  </si>
  <si>
    <t xml:space="preserve">Name des Unternehmens</t>
  </si>
  <si>
    <t xml:space="preserve">E-Mail-Domain</t>
  </si>
  <si>
    <t xml:space="preserve">Website (geschäftlich) </t>
  </si>
  <si>
    <t xml:space="preserve">Land</t>
  </si>
  <si>
    <t xml:space="preserve">Verantwortlicher</t>
  </si>
  <si>
    <t xml:space="preserve">Maschinenbau</t>
  </si>
  <si>
    <t xml:space="preserve">@voss-antriebstechnik.de</t>
  </si>
  <si>
    <t xml:space="preserve">DE</t>
  </si>
  <si>
    <t xml:space="preserve">Jonas Reiter</t>
  </si>
  <si>
    <t xml:space="preserve">Bestandskunde seit 2025, nutzt LeadPilot Professional im gesamten Vertriebsteam.</t>
  </si>
  <si>
    <t xml:space="preserve">@rehbach-foerdertechnik.de</t>
  </si>
  <si>
    <t xml:space="preserve">Sarah Klein</t>
  </si>
  <si>
    <t xml:space="preserve">Sucht Ablösung für Excel-Listen im Vertrieb, aktuell in Demo-Phase.</t>
  </si>
  <si>
    <t xml:space="preserve">@kessler-praezision.de</t>
  </si>
  <si>
    <t xml:space="preserve">Tim Brandt</t>
  </si>
  <si>
    <t xml:space="preserve">Kontakt über Kaltakquise, Erstgespräch positiv verlaufen.</t>
  </si>
  <si>
    <t xml:space="preserve">@brenner-hydraulik.de</t>
  </si>
  <si>
    <t xml:space="preserve">Bestandskunde, Enterprise-Vertrag, Upselling-Gespräch für Marketing-Modul läuft.</t>
  </si>
  <si>
    <t xml:space="preserve">@nordmeyer-maschinenbau.de</t>
  </si>
  <si>
    <t xml:space="preserve">Über Webinar 'Digitaler Vertrieb im Maschinenbau' generiert.</t>
  </si>
  <si>
    <t xml:space="preserve">@falkenrath-wzm.de</t>
  </si>
  <si>
    <t xml:space="preserve">Nora Vogel</t>
  </si>
  <si>
    <t xml:space="preserve">Möglicher Vertriebspartner für Sachsen, noch keine Kaufabsicht.</t>
  </si>
  <si>
    <t xml:space="preserve">IT</t>
  </si>
  <si>
    <t xml:space="preserve">@corvion-software.de</t>
  </si>
  <si>
    <t xml:space="preserve">Bestandskunde, sehr zufrieden, dient als Referenzkunde.</t>
  </si>
  <si>
    <t xml:space="preserve">@bittner-it.de</t>
  </si>
  <si>
    <t xml:space="preserve">Vergleicht aktuell LeadPilot mit Pipedrive.</t>
  </si>
  <si>
    <t xml:space="preserve">@pixelwerk-digital.de</t>
  </si>
  <si>
    <t xml:space="preserve">Wachstumsstarkes Start-up, erste Demo terminiert.</t>
  </si>
  <si>
    <t xml:space="preserve">@nexora-systems.de</t>
  </si>
  <si>
    <t xml:space="preserve">Bestandskunde seit Q1 2026, Nutzung wächst stetig.</t>
  </si>
  <si>
    <t xml:space="preserve">@vantis-cloud.de</t>
  </si>
  <si>
    <t xml:space="preserve">Kleines Team, preissensibel, Interesse am Starter-Plan.</t>
  </si>
  <si>
    <t xml:space="preserve">@dornbach-consulting.de</t>
  </si>
  <si>
    <t xml:space="preserve">Beratungshaus, benötigt Mandanten-getrennte Pipelines.</t>
  </si>
  <si>
    <t xml:space="preserve">Großhandel</t>
  </si>
  <si>
    <t xml:space="preserve">@reimann-grosshandel.de</t>
  </si>
  <si>
    <t xml:space="preserve">Bestandskunde, nutzt LeadPilot für Außendienststeuerung.</t>
  </si>
  <si>
    <t xml:space="preserve">@kaltenbach-baustoff.de</t>
  </si>
  <si>
    <t xml:space="preserve">Verhandlung über Jahreslizenz für 12 Nutzer läuft.</t>
  </si>
  <si>
    <t xml:space="preserve">@nordfrost-getraenke.de</t>
  </si>
  <si>
    <t xml:space="preserve">Bestandskunde, größter Account im Grosshandels-Segment.</t>
  </si>
  <si>
    <t xml:space="preserve">@ostmann-elektro.de</t>
  </si>
  <si>
    <t xml:space="preserve">Über Empfehlung von Reimann Großhandel entstanden.</t>
  </si>
  <si>
    <t xml:space="preserve">@wendland-agrar.de</t>
  </si>
  <si>
    <t xml:space="preserve">Saisongeschäft, Bedarf aktuell unklar, in Beobachtung.</t>
  </si>
  <si>
    <t xml:space="preserve">Agentur</t>
  </si>
  <si>
    <t xml:space="preserve">@kreativkraft-agentur.de</t>
  </si>
  <si>
    <t xml:space="preserve">Bestandskunde, nutzt LeadPilot für Kundenakquise.</t>
  </si>
  <si>
    <t xml:space="preserve">@blaupause-kommunikation.de</t>
  </si>
  <si>
    <t xml:space="preserve">Kleine Agentur, testet aktuell die kostenlose Demo.</t>
  </si>
  <si>
    <t xml:space="preserve">@funkeis-marken.de</t>
  </si>
  <si>
    <t xml:space="preserve">Erstkontakt über LinkedIn-Kampagne.</t>
  </si>
  <si>
    <t xml:space="preserve">@aurora-media-group.de</t>
  </si>
  <si>
    <t xml:space="preserve">Bestandskunde, nutzt Professional-Plan mit 15 Lizenzen.</t>
  </si>
  <si>
    <t xml:space="preserve">@studio-nordlicht.de</t>
  </si>
  <si>
    <t xml:space="preserve">Sehr kleines Team, Interesse am Starter-Plan für 3 Nutzer.</t>
  </si>
  <si>
    <t xml:space="preserve">Bei einer Geschäftschance handelt es sich um jede Art einer Geschäftsentwicklungsbemühung, die Sie nachverfolgen und im Laufe eines Prozesses vorantreiben möchten. 
Achten Sie darauf, das voraussichtliche Abschlussdatum korrekt anzupassen. 
Dadurch können Sie genauere Prognosen für die zum Ende Ihres Verkaufszyklus erwarteten Umsätze treffen.</t>
  </si>
  <si>
    <t xml:space="preserve">Wert</t>
  </si>
  <si>
    <t xml:space="preserve">Abschlussdatum</t>
  </si>
  <si>
    <t xml:space="preserve">Gewinn in %</t>
  </si>
  <si>
    <t xml:space="preserve">Status</t>
  </si>
  <si>
    <t xml:space="preserve">Grund des Scheiterns</t>
  </si>
  <si>
    <t xml:space="preserve">Priorität</t>
  </si>
  <si>
    <t xml:space="preserve">Quelle</t>
  </si>
  <si>
    <t xml:space="preserve">Paket</t>
  </si>
  <si>
    <t xml:space="preserve">Nutzer</t>
  </si>
  <si>
    <t xml:space="preserve">Preis / Nutzer / Monat</t>
  </si>
  <si>
    <t xml:space="preserve">LeadPilot Growth – Jahreslizenz</t>
  </si>
  <si>
    <t xml:space="preserve">Erfolgreich</t>
  </si>
  <si>
    <t xml:space="preserve">Keiner</t>
  </si>
  <si>
    <t xml:space="preserve">Hoch</t>
  </si>
  <si>
    <t xml:space="preserve">Sonstige</t>
  </si>
  <si>
    <t xml:space="preserve">Verlängerung um 12 Monate, 20 Nutzer im Growth-Paket.</t>
  </si>
  <si>
    <t xml:space="preserve">Growth</t>
  </si>
  <si>
    <t xml:space="preserve">Neukunde</t>
  </si>
  <si>
    <t xml:space="preserve">LeadPilot Einführung Rehbach</t>
  </si>
  <si>
    <t xml:space="preserve">Offen</t>
  </si>
  <si>
    <t xml:space="preserve">Werbung</t>
  </si>
  <si>
    <t xml:space="preserve">Demo für 12 Nutzer im Außendienst geplant, Growth-Paket.</t>
  </si>
  <si>
    <t xml:space="preserve">Pilotprojekt Kessler</t>
  </si>
  <si>
    <t xml:space="preserve">Mittel</t>
  </si>
  <si>
    <t xml:space="preserve">Kaltakquise (Cold Call)</t>
  </si>
  <si>
    <t xml:space="preserve">Erstgespräch positiv, Budgetfreigabe ausstehend. Starter für 6 Nutzer.</t>
  </si>
  <si>
    <t xml:space="preserve">Starter</t>
  </si>
  <si>
    <t xml:space="preserve">Nutzer-Erweiterung Brenner</t>
  </si>
  <si>
    <t xml:space="preserve">Erweiterung des bestehenden Growth-Vertrags um 8 Nutzer.</t>
  </si>
  <si>
    <t xml:space="preserve">LeadPilot für Nordmeyer Vertriebsteam</t>
  </si>
  <si>
    <t xml:space="preserve">Interesse an automatisierter Lead-Priorisierung, 11 Nutzer.</t>
  </si>
  <si>
    <t xml:space="preserve">Partnerschaft</t>
  </si>
  <si>
    <t xml:space="preserve">Reseller-Vereinbarung Falkenrath</t>
  </si>
  <si>
    <t xml:space="preserve">Niedrig</t>
  </si>
  <si>
    <t xml:space="preserve">Prüft Vertriebspartnerschaft für Sachsen, kein direkter Umsatz.</t>
  </si>
  <si>
    <t xml:space="preserve">–</t>
  </si>
  <si>
    <t xml:space="preserve">LeadPilot Growth – Verlängerung</t>
  </si>
  <si>
    <t xml:space="preserve">Zweite Vertragsverlängerung über 10 Nutzer, Referenz für Case Study.</t>
  </si>
  <si>
    <t xml:space="preserve">Wettbewerbsvergleich Bittner</t>
  </si>
  <si>
    <t xml:space="preserve">Vergleicht LeadPilot mit Pipedrive, Angebot über 13 Nutzer liegt vor.</t>
  </si>
  <si>
    <t xml:space="preserve">Erstlizenz Pixelwerk</t>
  </si>
  <si>
    <t xml:space="preserve">E-Mail</t>
  </si>
  <si>
    <t xml:space="preserve">Erste Demo terminiert, kleines Team von 4 Nutzern.</t>
  </si>
  <si>
    <t xml:space="preserve">LeadPilot Growth – Nutzer-Erweiterung</t>
  </si>
  <si>
    <t xml:space="preserve">Erweiterung von 8 auf 14 Nutzer, abgerechnet werden 6 zusätzliche Nutzer.</t>
  </si>
  <si>
    <t xml:space="preserve">Starter-Paket Vantis</t>
  </si>
  <si>
    <t xml:space="preserve">Preissensibel, wartet auf Rabattangebot. Starter für 4 Nutzer.</t>
  </si>
  <si>
    <t xml:space="preserve">Mandantenfähige Pipelines Dornbach</t>
  </si>
  <si>
    <t xml:space="preserve">Benötigt getrennte Pipelines je Mandant, Sonderkonfiguration in Prüfung.</t>
  </si>
  <si>
    <t xml:space="preserve">Verlängerung für 18 Nutzer im Außendienst.</t>
  </si>
  <si>
    <t xml:space="preserve">Jahreslizenz Kaltenbach</t>
  </si>
  <si>
    <t xml:space="preserve">Verhandlung über Rabatt bei 12 Nutzern läuft.</t>
  </si>
  <si>
    <t xml:space="preserve">LeadPilot Pro – Verlängerung</t>
  </si>
  <si>
    <t xml:space="preserve">Größter Account im Großhandel, 30 Nutzer zu individuell verhandelten 80 € je Nutzer.</t>
  </si>
  <si>
    <t xml:space="preserve">Pro</t>
  </si>
  <si>
    <t xml:space="preserve">Erstangebot Ostmann</t>
  </si>
  <si>
    <t xml:space="preserve">Über Empfehlung von Reimann Großhandel entstanden, 9 Nutzer.</t>
  </si>
  <si>
    <t xml:space="preserve">Verloren</t>
  </si>
  <si>
    <t xml:space="preserve">Testphase Wendland</t>
  </si>
  <si>
    <t xml:space="preserve">Gescheitert</t>
  </si>
  <si>
    <t xml:space="preserve">Preis</t>
  </si>
  <si>
    <t xml:space="preserve">Saisongeschäft, Budget aktuell nicht freigegeben.</t>
  </si>
  <si>
    <t xml:space="preserve">LeadPilot Starter – Verlängerung</t>
  </si>
  <si>
    <t xml:space="preserve">Kleine Agentur mit 10 Nutzern, konstante Nutzung seit Vertragsbeginn.</t>
  </si>
  <si>
    <t xml:space="preserve">Demo-Feedback Blaupause</t>
  </si>
  <si>
    <t xml:space="preserve">Testet die kostenlose Testversion, noch keine Kaufentscheidung.</t>
  </si>
  <si>
    <t xml:space="preserve">Erstkontakt Funkeis</t>
  </si>
  <si>
    <t xml:space="preserve">Über LinkedIn-Kampagne, Erstgespräch für nächste Woche geplant.</t>
  </si>
  <si>
    <t xml:space="preserve">15 Nutzer im Growth-Paket, Ansprechpartner sehr zufrieden.</t>
  </si>
  <si>
    <t xml:space="preserve">Starter-Paket Studio Nordlicht</t>
  </si>
  <si>
    <t xml:space="preserve">Vertrag für 3 Nutzer versendet, Unterschrift ausstehend.</t>
  </si>
  <si>
    <t xml:space="preserve">Angebot Falkenrath Testlizenz</t>
  </si>
  <si>
    <t xml:space="preserve">Abgebrochen</t>
  </si>
  <si>
    <t xml:space="preserve">Gespräch pausiert, Fokus liegt auf der Partnerschaftsprüfung.</t>
  </si>
  <si>
    <t xml:space="preserve">Pro-Angebot Dornbach</t>
  </si>
  <si>
    <t xml:space="preserve">Alternative zum Growth-Angebot: Pro-Konditionen bei 20 Nutzern.</t>
  </si>
  <si>
    <t xml:space="preserve">Berechnungsregel</t>
  </si>
  <si>
    <t xml:space="preserve">Wert (Jahreswert) = Nutzer × Preis je Nutzer und Monat × 12. Starter 49 €, Growth 89 €, Pro nach individueller Vereinbarung (hier 80 €). Quelle: LeadPilot Faktenblatt v1.1, Abschnitt 2.</t>
  </si>
  <si>
    <t xml:space="preserve">Interaktionen</t>
  </si>
  <si>
    <t xml:space="preserve">LeadPilot-Tipp ➤</t>
  </si>
  <si>
    <t xml:space="preserve">Protokoll aller Vertriebskontakte (Anrufe, Demos, E-Mails, Meetings). Jede Interaktion erhält einen konkreten nächsten Schritt inklusive Fälligkeitsdatum, passend zu LeadPilots Kernfunktion der automatischen Lead-Priorisierung.</t>
  </si>
  <si>
    <t xml:space="preserve">Datum</t>
  </si>
  <si>
    <t xml:space="preserve">Kontakt</t>
  </si>
  <si>
    <t xml:space="preserve">Opportunity</t>
  </si>
  <si>
    <t xml:space="preserve">Interaktionstyp</t>
  </si>
  <si>
    <t xml:space="preserve">Kanal</t>
  </si>
  <si>
    <t xml:space="preserve">Zusammenfassung</t>
  </si>
  <si>
    <t xml:space="preserve">Ergebnis</t>
  </si>
  <si>
    <t xml:space="preserve">Nächster Schritt</t>
  </si>
  <si>
    <t xml:space="preserve">Fällig am</t>
  </si>
  <si>
    <t xml:space="preserve">LeadPilot Professional - Jahreslizenz</t>
  </si>
  <si>
    <t xml:space="preserve">Anruf</t>
  </si>
  <si>
    <t xml:space="preserve">Telefon</t>
  </si>
  <si>
    <t xml:space="preserve">Jahresgespräch zur Vertragsverlängerung geführt.</t>
  </si>
  <si>
    <t xml:space="preserve">Erfolgreich abgeschlossen</t>
  </si>
  <si>
    <t xml:space="preserve">Zufriedenheits-Check nach 3 Monaten einplanen.</t>
  </si>
  <si>
    <t xml:space="preserve">Demo</t>
  </si>
  <si>
    <t xml:space="preserve">Zoom</t>
  </si>
  <si>
    <t xml:space="preserve">Produktdemo für Vertriebsleitung und zwei Teamleiter durchgeführt.</t>
  </si>
  <si>
    <t xml:space="preserve">Positiv, hohes Interesse</t>
  </si>
  <si>
    <t xml:space="preserve">Angebot für 12 Nutzer erstellen und versenden.</t>
  </si>
  <si>
    <t xml:space="preserve">Angebot an Daniel Wagner als technischen Ansprechpartner versendet.</t>
  </si>
  <si>
    <t xml:space="preserve">Rückmeldung ausstehend</t>
  </si>
  <si>
    <t xml:space="preserve">Nachfassen, falls bis 18.07. keine Rückmeldung erfolgt.</t>
  </si>
  <si>
    <t xml:space="preserve">Kaltakquise-Anruf, Bedarf an strukturierter Lead-Nachverfolgung bestätigt.</t>
  </si>
  <si>
    <t xml:space="preserve">Interessiert</t>
  </si>
  <si>
    <t xml:space="preserve">Termin für Erstgespräch mit Entscheider vereinbaren.</t>
  </si>
  <si>
    <t xml:space="preserve">Marketing-Modul Brenner</t>
  </si>
  <si>
    <t xml:space="preserve">Meeting vor Ort</t>
  </si>
  <si>
    <t xml:space="preserve">Vor Ort</t>
  </si>
  <si>
    <t xml:space="preserve">Vor-Ort-Termin zur Besprechung der Modul-Erweiterung.</t>
  </si>
  <si>
    <t xml:space="preserve">Verhandlung läuft</t>
  </si>
  <si>
    <t xml:space="preserve">Finales Angebot mit Rabattstaffel nachreichen.</t>
  </si>
  <si>
    <t xml:space="preserve">Webinar-Teilnahme</t>
  </si>
  <si>
    <t xml:space="preserve">Online</t>
  </si>
  <si>
    <t xml:space="preserve">Teilnahme am Webinar 'Digitaler Vertrieb im Maschinenbau', im Nachgang kontaktiert.</t>
  </si>
  <si>
    <t xml:space="preserve">Individuelle Demo mit Vertriebsteam terminieren.</t>
  </si>
  <si>
    <t xml:space="preserve">Gespräch über mögliche Vertriebspartnerschaft für Sachsen.</t>
  </si>
  <si>
    <t xml:space="preserve">Neutral, prüft intern</t>
  </si>
  <si>
    <t xml:space="preserve">In 4 Wochen erneut nachfassen.</t>
  </si>
  <si>
    <t xml:space="preserve">LeadPilot Professional - Verlängerung</t>
  </si>
  <si>
    <t xml:space="preserve">Verlängerungsgespräch, Zufriedenheit sehr hoch.</t>
  </si>
  <si>
    <t xml:space="preserve">Anfrage für Referenz-Case-Study stellen.</t>
  </si>
  <si>
    <t xml:space="preserve">Vergleichsdemo LeadPilot vs. Pipedrive durchgeführt.</t>
  </si>
  <si>
    <t xml:space="preserve">Positiv, Entscheidung in 2 Wochen</t>
  </si>
  <si>
    <t xml:space="preserve">Referenzen von vergleichbaren IT-Dienstleistern zusenden.</t>
  </si>
  <si>
    <t xml:space="preserve">Terminvorschläge für Erstdemo verschickt.</t>
  </si>
  <si>
    <t xml:space="preserve">Termin vereinbart</t>
  </si>
  <si>
    <t xml:space="preserve">Demo am 12.08. durchführen.</t>
  </si>
  <si>
    <t xml:space="preserve">LeadPilot Professional - Erweiterung</t>
  </si>
  <si>
    <t xml:space="preserve">Abstimmung zur Lizenzerweiterung von 8 auf 14 Nutzer.</t>
  </si>
  <si>
    <t xml:space="preserve">Erfolgreich, Vertrag folgt</t>
  </si>
  <si>
    <t xml:space="preserve">Vertragsunterlagen zur Unterschrift versenden.</t>
  </si>
  <si>
    <t xml:space="preserve">LinkedIn-Nachricht</t>
  </si>
  <si>
    <t xml:space="preserve">Nachfrage zu Rabattmöglichkeiten für kleine Teams gestellt.</t>
  </si>
  <si>
    <t xml:space="preserve">Wartet auf Angebot</t>
  </si>
  <si>
    <t xml:space="preserve">Sonderkonditionen für Teams unter 5 Nutzern prüfen und anbieten.</t>
  </si>
  <si>
    <t xml:space="preserve">Anforderungen an mandantenfähige Pipelines aufgenommen.</t>
  </si>
  <si>
    <t xml:space="preserve">Positiv, Sonderkonfiguration nötig</t>
  </si>
  <si>
    <t xml:space="preserve">Technisches Konzept mit Produktteam abstimmen.</t>
  </si>
  <si>
    <t xml:space="preserve">Jahresgespräch zur Verlängerung inkl. Außendienst-App.</t>
  </si>
  <si>
    <t xml:space="preserve">Onboarding der Außendienst-App für neue Nutzer planen.</t>
  </si>
  <si>
    <t xml:space="preserve">Verhandlung über Rabattstaffel bei 12 Nutzern.</t>
  </si>
  <si>
    <t xml:space="preserve">Gegenangebot mit gestaffeltem Rabatt vorbereiten.</t>
  </si>
  <si>
    <t xml:space="preserve">Rückfragen der Einkaufsleitung zu Vertragskonditionen beantwortet.</t>
  </si>
  <si>
    <t xml:space="preserve">Offene Fragen geklärt</t>
  </si>
  <si>
    <t xml:space="preserve">Freigabe durch Einkauf abwarten.</t>
  </si>
  <si>
    <t xml:space="preserve">LeadPilot Enterprise - Verlängerung</t>
  </si>
  <si>
    <t xml:space="preserve">Jahresgespräch zur Enterprise-Verlängerung vor Ort geführt.</t>
  </si>
  <si>
    <t xml:space="preserve">Quartalsweises Review-Meeting einplanen.</t>
  </si>
  <si>
    <t xml:space="preserve">Technisches Onboarding neuer Nutzer mit IT-Administrator besprochen.</t>
  </si>
  <si>
    <t xml:space="preserve">Onboarding-Session am 05.08. durchführen.</t>
  </si>
  <si>
    <t xml:space="preserve">Erstgespräch nach Empfehlung durch Reimann Großhandel.</t>
  </si>
  <si>
    <t xml:space="preserve">Bedarfsanalyse und individuelles Angebot erstellen.</t>
  </si>
  <si>
    <t xml:space="preserve">Testphase durchgeführt, Budgetfreigabe stand aus.</t>
  </si>
  <si>
    <t xml:space="preserve">Kein Interesse aktuell</t>
  </si>
  <si>
    <t xml:space="preserve">In 6 Monaten zur nächsten Saison erneut kontaktieren.</t>
  </si>
  <si>
    <t xml:space="preserve">Verlängerungsgespräch, konstante Nutzung bestätigt.</t>
  </si>
  <si>
    <t xml:space="preserve">Feedback-Gespräch nach 6 Monaten einplanen.</t>
  </si>
  <si>
    <t xml:space="preserve">Kostenlose Demo durchgeführt, Feedback eingeholt.</t>
  </si>
  <si>
    <t xml:space="preserve">Neutral, Bedenken zu Preis</t>
  </si>
  <si>
    <t xml:space="preserve">Vergleichsangebot mit Starter-Plan zusenden.</t>
  </si>
  <si>
    <t xml:space="preserve">Erstkontakt über LinkedIn-Kampagne hergestellt.</t>
  </si>
  <si>
    <t xml:space="preserve">Erstgespräch nächste Woche durchführen.</t>
  </si>
  <si>
    <t xml:space="preserve">Verlängerungsgespräch, sehr positive Rückmeldung.</t>
  </si>
  <si>
    <t xml:space="preserve">Referenzlogo für Website-Case-Study anfragen.</t>
  </si>
  <si>
    <t xml:space="preserve">Vertrag für 3 Nutzer zur Unterschrift versendet.</t>
  </si>
  <si>
    <t xml:space="preserve">Unterschrift ausstehend</t>
  </si>
  <si>
    <t xml:space="preserve">Bei ausbleibender Rückmeldung telefonisch nachfassen.</t>
  </si>
  <si>
    <t xml:space="preserve">Nachfassgespräch zur Testlizenz, Fokus verschoben.</t>
  </si>
  <si>
    <t xml:space="preserve">Pausiert</t>
  </si>
  <si>
    <t xml:space="preserve">Erneuter Kontakt nach Entscheidung zur Partnerschaft.</t>
  </si>
  <si>
    <t xml:space="preserve">Enterprise-Angebot Dornbach</t>
  </si>
  <si>
    <t xml:space="preserve">Besprechung eines Enterprise-Angebots als Alternative.</t>
  </si>
  <si>
    <t xml:space="preserve">Angebotsvergleich Professional vs. Enterprise aufbereiten.</t>
  </si>
  <si>
    <t xml:space="preserve">             Rahmenbedingungen</t>
  </si>
  <si>
    <t xml:space="preserve">  Personen/Unternehmen</t>
  </si>
  <si>
    <t xml:space="preserve">  Geschäftschancen</t>
  </si>
  <si>
    <t xml:space="preserve">  Kontakttyp</t>
  </si>
  <si>
    <t xml:space="preserve">  Phase</t>
  </si>
  <si>
    <t xml:space="preserve">  Status</t>
  </si>
  <si>
    <t xml:space="preserve">  Quelle</t>
  </si>
  <si>
    <t xml:space="preserve">  Grund des Scheiterns</t>
  </si>
  <si>
    <t xml:space="preserve">ALLE</t>
  </si>
  <si>
    <t xml:space="preserve">Mitbewerber</t>
  </si>
  <si>
    <t xml:space="preserve">Funktionen</t>
  </si>
  <si>
    <t xml:space="preserve">Verhandlung </t>
  </si>
</sst>
</file>

<file path=xl/styles.xml><?xml version="1.0" encoding="utf-8"?>
<styleSheet xmlns="http://schemas.openxmlformats.org/spreadsheetml/2006/main">
  <numFmts count="9">
    <numFmt numFmtId="164" formatCode="General"/>
    <numFmt numFmtId="165" formatCode="#,##0&quot; €&quot;"/>
    <numFmt numFmtId="166" formatCode="General"/>
    <numFmt numFmtId="167" formatCode="\$#,##0"/>
    <numFmt numFmtId="168" formatCode="0"/>
    <numFmt numFmtId="169" formatCode="#,##0&quot; €&quot;"/>
    <numFmt numFmtId="170" formatCode="dd\.mm\.yyyy"/>
    <numFmt numFmtId="171" formatCode="0\ %"/>
    <numFmt numFmtId="172" formatCode="#,##0"/>
  </numFmts>
  <fonts count="73">
    <font>
      <sz val="10"/>
      <color rgb="FF000000"/>
      <name val="Arial"/>
      <family val="0"/>
      <charset val="1"/>
    </font>
    <font>
      <sz val="10"/>
      <name val="Arial"/>
      <family val="0"/>
    </font>
    <font>
      <sz val="10"/>
      <name val="Arial"/>
      <family val="0"/>
    </font>
    <font>
      <sz val="10"/>
      <name val="Arial"/>
      <family val="0"/>
    </font>
    <font>
      <sz val="11"/>
      <color rgb="FFFFFFFF"/>
      <name val="Roboto"/>
      <family val="0"/>
      <charset val="1"/>
    </font>
    <font>
      <sz val="60"/>
      <color rgb="FFFFFFFF"/>
      <name val="Roboto"/>
      <family val="0"/>
      <charset val="1"/>
    </font>
    <font>
      <sz val="11"/>
      <color theme="1"/>
      <name val="Roboto"/>
      <family val="0"/>
      <charset val="1"/>
    </font>
    <font>
      <sz val="12"/>
      <color rgb="FFFFFFFF"/>
      <name val="Roboto"/>
      <family val="0"/>
      <charset val="1"/>
    </font>
    <font>
      <sz val="11"/>
      <color theme="1"/>
      <name val="Cambria"/>
      <family val="0"/>
      <charset val="1"/>
    </font>
    <font>
      <sz val="11"/>
      <color rgb="FF303F46"/>
      <name val="Roboto"/>
      <family val="0"/>
      <charset val="1"/>
    </font>
    <font>
      <sz val="22"/>
      <color rgb="FF303F46"/>
      <name val="Roboto"/>
      <family val="0"/>
      <charset val="1"/>
    </font>
    <font>
      <b val="true"/>
      <sz val="20"/>
      <color rgb="FF3D4DB7"/>
      <name val="Roboto"/>
      <family val="0"/>
      <charset val="1"/>
    </font>
    <font>
      <b val="true"/>
      <sz val="22"/>
      <color rgb="FF3D4DB7"/>
      <name val="Roboto"/>
      <family val="0"/>
      <charset val="1"/>
    </font>
    <font>
      <b val="true"/>
      <sz val="12"/>
      <color rgb="FF3D4DB7"/>
      <name val="Roboto"/>
      <family val="0"/>
      <charset val="1"/>
    </font>
    <font>
      <sz val="12"/>
      <color rgb="FF2E404D"/>
      <name val="Roboto"/>
      <family val="0"/>
      <charset val="1"/>
    </font>
    <font>
      <sz val="11"/>
      <color rgb="FF0A78D1"/>
      <name val="Roboto"/>
      <family val="0"/>
      <charset val="1"/>
    </font>
    <font>
      <sz val="12"/>
      <color rgb="FF303F46"/>
      <name val="Roboto"/>
      <family val="0"/>
      <charset val="1"/>
    </font>
    <font>
      <sz val="12"/>
      <color theme="1"/>
      <name val="Cambria"/>
      <family val="0"/>
      <charset val="1"/>
    </font>
    <font>
      <sz val="12"/>
      <color rgb="FF3D4DB7"/>
      <name val="Roboto"/>
      <family val="0"/>
      <charset val="1"/>
    </font>
    <font>
      <sz val="12"/>
      <color rgb="FF3D4DB7"/>
      <name val="Cambria"/>
      <family val="0"/>
      <charset val="1"/>
    </font>
    <font>
      <b val="true"/>
      <sz val="18"/>
      <color rgb="FFFFFFFF"/>
      <name val="Roboto"/>
      <family val="0"/>
      <charset val="1"/>
    </font>
    <font>
      <sz val="12"/>
      <color rgb="FFF3F3F3"/>
      <name val="Roboto"/>
      <family val="0"/>
      <charset val="1"/>
    </font>
    <font>
      <sz val="30"/>
      <color rgb="FFF3F3F3"/>
      <name val="Roboto"/>
      <family val="0"/>
      <charset val="1"/>
    </font>
    <font>
      <b val="true"/>
      <sz val="11"/>
      <color rgb="FF303F46"/>
      <name val="Roboto"/>
      <family val="0"/>
      <charset val="1"/>
    </font>
    <font>
      <b val="true"/>
      <sz val="11"/>
      <color rgb="FF888888"/>
      <name val="Roboto"/>
      <family val="0"/>
      <charset val="1"/>
    </font>
    <font>
      <b val="true"/>
      <sz val="30"/>
      <color rgb="FF888888"/>
      <name val="Roboto"/>
      <family val="0"/>
      <charset val="1"/>
    </font>
    <font>
      <sz val="30"/>
      <color theme="1"/>
      <name val="Roboto"/>
      <family val="0"/>
      <charset val="1"/>
    </font>
    <font>
      <sz val="11"/>
      <color rgb="FF3D4DB7"/>
      <name val="Roboto"/>
      <family val="0"/>
      <charset val="1"/>
    </font>
    <font>
      <b val="true"/>
      <sz val="8.5"/>
      <color rgb="FF4C2E8E"/>
      <name val="Arial"/>
      <family val="0"/>
      <charset val="1"/>
    </font>
    <font>
      <b val="true"/>
      <sz val="11"/>
      <color rgb="FF3D4DB7"/>
      <name val="Roboto"/>
      <family val="0"/>
      <charset val="1"/>
    </font>
    <font>
      <sz val="9"/>
      <color rgb="FF3D4DB7"/>
      <name val="Roboto"/>
      <family val="0"/>
      <charset val="1"/>
    </font>
    <font>
      <sz val="30"/>
      <color rgb="FF3D4DB7"/>
      <name val="Roboto"/>
      <family val="0"/>
      <charset val="1"/>
    </font>
    <font>
      <b val="true"/>
      <sz val="36"/>
      <color rgb="FF3D4DB7"/>
      <name val="Roboto"/>
      <family val="0"/>
      <charset val="1"/>
    </font>
    <font>
      <sz val="18"/>
      <color rgb="FF2196F3"/>
      <name val="Roboto"/>
      <family val="0"/>
      <charset val="1"/>
    </font>
    <font>
      <b val="true"/>
      <sz val="24"/>
      <color rgb="FF303F46"/>
      <name val="Roboto"/>
      <family val="0"/>
      <charset val="1"/>
    </font>
    <font>
      <sz val="9"/>
      <color rgb="FF888888"/>
      <name val="Roboto"/>
      <family val="0"/>
      <charset val="1"/>
    </font>
    <font>
      <b val="true"/>
      <sz val="24"/>
      <color rgb="FF363636"/>
      <name val="Roboto"/>
      <family val="0"/>
      <charset val="1"/>
    </font>
    <font>
      <b val="true"/>
      <sz val="11"/>
      <color rgb="FF363636"/>
      <name val="Roboto"/>
      <family val="0"/>
      <charset val="1"/>
    </font>
    <font>
      <b val="true"/>
      <sz val="10.5"/>
      <color rgb="FF1A1A2E"/>
      <name val="Arial"/>
      <family val="0"/>
      <charset val="1"/>
    </font>
    <font>
      <b val="true"/>
      <sz val="10"/>
      <color theme="1"/>
      <name val="Roboto"/>
      <family val="0"/>
      <charset val="1"/>
    </font>
    <font>
      <b val="true"/>
      <sz val="12"/>
      <color rgb="FF2E404D"/>
      <name val="Roboto"/>
      <family val="0"/>
      <charset val="1"/>
    </font>
    <font>
      <sz val="9"/>
      <color rgb="FF2196F3"/>
      <name val="Roboto"/>
      <family val="0"/>
      <charset val="1"/>
    </font>
    <font>
      <sz val="11"/>
      <color rgb="FF2196F3"/>
      <name val="Roboto"/>
      <family val="0"/>
      <charset val="1"/>
    </font>
    <font>
      <sz val="10"/>
      <color rgb="FF2E404D"/>
      <name val="Roboto"/>
      <family val="0"/>
      <charset val="1"/>
    </font>
    <font>
      <b val="true"/>
      <sz val="20"/>
      <color rgb="FF303F46"/>
      <name val="Roboto"/>
      <family val="0"/>
      <charset val="1"/>
    </font>
    <font>
      <b val="true"/>
      <sz val="11"/>
      <color rgb="FF3C78D8"/>
      <name val="Roboto"/>
      <family val="0"/>
      <charset val="1"/>
    </font>
    <font>
      <sz val="11"/>
      <color rgb="FF363636"/>
      <name val="Roboto"/>
      <family val="0"/>
      <charset val="1"/>
    </font>
    <font>
      <i val="true"/>
      <sz val="8.5"/>
      <color rgb="FF6B6B80"/>
      <name val="Arial"/>
      <family val="0"/>
      <charset val="1"/>
    </font>
    <font>
      <sz val="10"/>
      <color rgb="FF363636"/>
      <name val="Roboto"/>
      <family val="0"/>
      <charset val="1"/>
    </font>
    <font>
      <sz val="30"/>
      <color rgb="FF363636"/>
      <name val="Roboto"/>
      <family val="0"/>
      <charset val="1"/>
    </font>
    <font>
      <sz val="13"/>
      <color rgb="FF757575"/>
      <name val="Arial"/>
      <family val="2"/>
    </font>
    <font>
      <sz val="12"/>
      <color rgb="FF000000"/>
      <name val="Roboto"/>
      <family val="2"/>
    </font>
    <font>
      <sz val="13"/>
      <color rgb="FF000000"/>
      <name val="Arial"/>
      <family val="2"/>
    </font>
    <font>
      <sz val="10"/>
      <color rgb="FF000000"/>
      <name val="Roboto"/>
      <family val="2"/>
    </font>
    <font>
      <sz val="9"/>
      <color rgb="FF073763"/>
      <name val="Roboto"/>
      <family val="2"/>
    </font>
    <font>
      <sz val="9"/>
      <color rgb="FF222222"/>
      <name val="Roboto"/>
      <family val="2"/>
    </font>
    <font>
      <sz val="20"/>
      <color rgb="FFF3F3F3"/>
      <name val="Roboto"/>
      <family val="0"/>
      <charset val="1"/>
    </font>
    <font>
      <sz val="10"/>
      <color rgb="FFF3F3F3"/>
      <name val="Roboto"/>
      <family val="0"/>
      <charset val="1"/>
    </font>
    <font>
      <b val="true"/>
      <sz val="11"/>
      <color rgb="FFFFFFFF"/>
      <name val="Roboto"/>
      <family val="0"/>
      <charset val="1"/>
    </font>
    <font>
      <b val="true"/>
      <sz val="11"/>
      <color theme="1"/>
      <name val="Roboto"/>
      <family val="0"/>
      <charset val="1"/>
    </font>
    <font>
      <sz val="10"/>
      <color rgb="FF303F46"/>
      <name val="Roboto"/>
      <family val="0"/>
      <charset val="1"/>
    </font>
    <font>
      <u val="single"/>
      <sz val="11"/>
      <color rgb="FF0000FF"/>
      <name val="Roboto"/>
      <family val="0"/>
      <charset val="1"/>
    </font>
    <font>
      <sz val="10"/>
      <color rgb="FF000000"/>
      <name val="Roboto"/>
      <family val="0"/>
      <charset val="1"/>
    </font>
    <font>
      <u val="single"/>
      <sz val="11"/>
      <color rgb="FF1155CC"/>
      <name val="Arial"/>
      <family val="0"/>
      <charset val="1"/>
    </font>
    <font>
      <sz val="10"/>
      <color theme="1"/>
      <name val="Roboto"/>
      <family val="0"/>
      <charset val="1"/>
    </font>
    <font>
      <u val="single"/>
      <sz val="10"/>
      <color rgb="FF0000FF"/>
      <name val="Roboto"/>
      <family val="0"/>
      <charset val="1"/>
    </font>
    <font>
      <sz val="10"/>
      <name val="Arial"/>
      <family val="2"/>
    </font>
    <font>
      <b val="true"/>
      <sz val="8"/>
      <color rgb="FF303F46"/>
      <name val="Roboto"/>
      <family val="0"/>
      <charset val="1"/>
    </font>
    <font>
      <u val="single"/>
      <sz val="11"/>
      <color rgb="FF1155CC"/>
      <name val="Roboto"/>
      <family val="0"/>
      <charset val="1"/>
    </font>
    <font>
      <b val="true"/>
      <sz val="9"/>
      <color rgb="FFFFFFFF"/>
      <name val="Arial"/>
      <family val="0"/>
      <charset val="1"/>
    </font>
    <font>
      <b val="true"/>
      <sz val="9"/>
      <color rgb="FF4C2E8E"/>
      <name val="Arial"/>
      <family val="0"/>
      <charset val="1"/>
    </font>
    <font>
      <sz val="18"/>
      <color rgb="FFFFFFFF"/>
      <name val="Roboto"/>
      <family val="0"/>
      <charset val="1"/>
    </font>
    <font>
      <b val="true"/>
      <sz val="11"/>
      <color rgb="FF2E404D"/>
      <name val="Roboto"/>
      <family val="0"/>
      <charset val="1"/>
    </font>
  </fonts>
  <fills count="10">
    <fill>
      <patternFill patternType="none"/>
    </fill>
    <fill>
      <patternFill patternType="gray125"/>
    </fill>
    <fill>
      <patternFill patternType="solid">
        <fgColor rgb="FF3D4DB7"/>
        <bgColor rgb="FF1155CC"/>
      </patternFill>
    </fill>
    <fill>
      <patternFill patternType="solid">
        <fgColor rgb="FFEFEFF1"/>
        <bgColor rgb="FFF3F3F3"/>
      </patternFill>
    </fill>
    <fill>
      <patternFill patternType="solid">
        <fgColor rgb="FFFFFFFF"/>
        <bgColor rgb="FFF3F3F3"/>
      </patternFill>
    </fill>
    <fill>
      <patternFill patternType="solid">
        <fgColor rgb="FF434343"/>
        <bgColor rgb="FF303F46"/>
      </patternFill>
    </fill>
    <fill>
      <patternFill patternType="solid">
        <fgColor rgb="FFE9E9E9"/>
        <bgColor rgb="FFEFEFF1"/>
      </patternFill>
    </fill>
    <fill>
      <patternFill patternType="solid">
        <fgColor rgb="FFCFE2F3"/>
        <bgColor rgb="FFD9D9D9"/>
      </patternFill>
    </fill>
    <fill>
      <patternFill patternType="solid">
        <fgColor rgb="FF4C2E8E"/>
        <bgColor rgb="FF3D4DB7"/>
      </patternFill>
    </fill>
    <fill>
      <patternFill patternType="solid">
        <fgColor rgb="FF303F46"/>
        <bgColor rgb="FF2E404D"/>
      </patternFill>
    </fill>
  </fills>
  <borders count="20">
    <border diagonalUp="false" diagonalDown="false">
      <left/>
      <right/>
      <top/>
      <bottom/>
      <diagonal/>
    </border>
    <border diagonalUp="false" diagonalDown="false">
      <left/>
      <right/>
      <top/>
      <bottom style="thin">
        <color rgb="FF2196F3"/>
      </bottom>
      <diagonal/>
    </border>
    <border diagonalUp="false" diagonalDown="false">
      <left/>
      <right style="thin">
        <color rgb="FF2196F3"/>
      </right>
      <top style="thin">
        <color rgb="FF3D4DB7"/>
      </top>
      <bottom style="thin">
        <color rgb="FF3D4DB7"/>
      </bottom>
      <diagonal/>
    </border>
    <border diagonalUp="false" diagonalDown="false">
      <left style="thin">
        <color rgb="FF3D4DB7"/>
      </left>
      <right style="thin">
        <color rgb="FF3D4DB7"/>
      </right>
      <top style="thin">
        <color rgb="FF3D4DB7"/>
      </top>
      <bottom style="thin">
        <color rgb="FF3D4DB7"/>
      </bottom>
      <diagonal/>
    </border>
    <border diagonalUp="false" diagonalDown="false">
      <left/>
      <right/>
      <top style="thin">
        <color rgb="FF3D4DB7"/>
      </top>
      <bottom style="thin">
        <color rgb="FF3D4DB7"/>
      </bottom>
      <diagonal/>
    </border>
    <border diagonalUp="false" diagonalDown="false">
      <left/>
      <right/>
      <top/>
      <bottom style="dotted">
        <color rgb="FF363636"/>
      </bottom>
      <diagonal/>
    </border>
    <border diagonalUp="false" diagonalDown="false">
      <left/>
      <right/>
      <top style="thin">
        <color rgb="FFD9D9D9"/>
      </top>
      <bottom/>
      <diagonal/>
    </border>
    <border diagonalUp="false" diagonalDown="false">
      <left/>
      <right/>
      <top/>
      <bottom style="thin">
        <color rgb="FFD9D9D9"/>
      </bottom>
      <diagonal/>
    </border>
    <border diagonalUp="false" diagonalDown="false">
      <left/>
      <right style="thin">
        <color rgb="FFD9D9D9"/>
      </right>
      <top/>
      <bottom style="thin">
        <color rgb="FFFFFFFF"/>
      </bottom>
      <diagonal/>
    </border>
    <border diagonalUp="false" diagonalDown="false">
      <left/>
      <right/>
      <top style="thin">
        <color rgb="FFD9D9D9"/>
      </top>
      <bottom style="thin">
        <color rgb="FFD9D9D9"/>
      </bottom>
      <diagonal/>
    </border>
    <border diagonalUp="false" diagonalDown="false">
      <left/>
      <right/>
      <top/>
      <bottom style="thin">
        <color rgb="FFCCCCCC"/>
      </bottom>
      <diagonal/>
    </border>
    <border diagonalUp="false" diagonalDown="false">
      <left/>
      <right style="thin">
        <color rgb="FFD9D9D9"/>
      </right>
      <top style="thin">
        <color rgb="FFFFFFFF"/>
      </top>
      <bottom style="thin">
        <color rgb="FFFFFFFF"/>
      </bottom>
      <diagonal/>
    </border>
    <border diagonalUp="false" diagonalDown="false">
      <left/>
      <right/>
      <top style="thin">
        <color rgb="FFCCCCCC"/>
      </top>
      <bottom style="thin">
        <color rgb="FFCCCCCC"/>
      </bottom>
      <diagonal/>
    </border>
    <border diagonalUp="false" diagonalDown="false">
      <left/>
      <right style="thin">
        <color rgb="FFD9D9D9"/>
      </right>
      <top style="thin">
        <color rgb="FFFFFFFF"/>
      </top>
      <bottom style="thin">
        <color rgb="FFCCCCCC"/>
      </bottom>
      <diagonal/>
    </border>
    <border diagonalUp="false" diagonalDown="false">
      <left/>
      <right/>
      <top style="thin">
        <color rgb="FFD9D9D9"/>
      </top>
      <bottom style="thin">
        <color rgb="FFCCCCCC"/>
      </bottom>
      <diagonal/>
    </border>
    <border diagonalUp="false" diagonalDown="false">
      <left/>
      <right style="thin">
        <color rgb="FFD9D9D9"/>
      </right>
      <top/>
      <bottom style="thin">
        <color rgb="FFCCCCCC"/>
      </bottom>
      <diagonal/>
    </border>
    <border diagonalUp="false" diagonalDown="false">
      <left style="thin">
        <color rgb="FFCCCCCC"/>
      </left>
      <right/>
      <top style="thin">
        <color rgb="FFCCCCCC"/>
      </top>
      <bottom/>
      <diagonal/>
    </border>
    <border diagonalUp="false" diagonalDown="false">
      <left/>
      <right/>
      <top style="thin">
        <color rgb="FFCCCCCC"/>
      </top>
      <bottom/>
      <diagonal/>
    </border>
    <border diagonalUp="false" diagonalDown="false">
      <left/>
      <right style="thin">
        <color rgb="FFCCCCCC"/>
      </right>
      <top style="thin">
        <color rgb="FFCCCCCC"/>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9" fillId="3" borderId="0" xfId="0" applyFont="true" applyBorder="true" applyAlignment="true" applyProtection="false">
      <alignment horizontal="left" vertical="bottom"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true" applyAlignment="true" applyProtection="false">
      <alignment horizontal="center" vertical="top" textRotation="0" wrapText="true" indent="0" shrinkToFit="false"/>
      <protection locked="true" hidden="false"/>
    </xf>
    <xf numFmtId="164" fontId="14" fillId="3" borderId="0" xfId="0" applyFont="true" applyBorder="true" applyAlignment="true" applyProtection="false">
      <alignment horizontal="left" vertical="top" textRotation="0" wrapText="true" indent="0" shrinkToFit="false"/>
      <protection locked="true" hidden="false"/>
    </xf>
    <xf numFmtId="164" fontId="11" fillId="3" borderId="0" xfId="0" applyFont="true" applyBorder="true" applyAlignment="true" applyProtection="false">
      <alignment horizontal="left" vertical="top" textRotation="0" wrapText="true" indent="0" shrinkToFit="false"/>
      <protection locked="true" hidden="false"/>
    </xf>
    <xf numFmtId="164" fontId="14" fillId="3" borderId="0" xfId="0" applyFont="true" applyBorder="true" applyAlignment="true" applyProtection="false">
      <alignment horizontal="general" vertical="top" textRotation="0" wrapText="true" indent="0" shrinkToFit="false"/>
      <protection locked="true" hidden="false"/>
    </xf>
    <xf numFmtId="164" fontId="15" fillId="3" borderId="0" xfId="0" applyFont="true" applyBorder="true" applyAlignment="true" applyProtection="false">
      <alignment horizontal="left" vertical="bottom" textRotation="0" wrapText="false" indent="0" shrinkToFit="false"/>
      <protection locked="true" hidden="false"/>
    </xf>
    <xf numFmtId="164" fontId="16" fillId="4" borderId="0"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true" applyAlignment="true" applyProtection="false">
      <alignment horizontal="left" vertical="bottom" textRotation="0" wrapText="false" indent="0" shrinkToFit="false"/>
      <protection locked="true" hidden="false"/>
    </xf>
    <xf numFmtId="164" fontId="13" fillId="4" borderId="0" xfId="0" applyFont="true" applyBorder="true" applyAlignment="true" applyProtection="false">
      <alignment horizontal="left" vertical="bottom" textRotation="0" wrapText="false" indent="0" shrinkToFit="false"/>
      <protection locked="true" hidden="false"/>
    </xf>
    <xf numFmtId="164" fontId="14" fillId="4" borderId="0" xfId="0" applyFont="true" applyBorder="true" applyAlignment="true" applyProtection="false">
      <alignment horizontal="left" vertical="bottom" textRotation="0" wrapText="true" indent="0" shrinkToFit="false"/>
      <protection locked="true" hidden="false"/>
    </xf>
    <xf numFmtId="164" fontId="14" fillId="4" borderId="0"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2" fillId="2"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false" indent="0" shrinkToFit="false"/>
      <protection locked="true" hidden="false"/>
    </xf>
    <xf numFmtId="164" fontId="23" fillId="4" borderId="0" xfId="0" applyFont="true" applyBorder="true" applyAlignment="true" applyProtection="false">
      <alignment horizontal="left" vertical="center" textRotation="0" wrapText="false" indent="0" shrinkToFit="false"/>
      <protection locked="true" hidden="false"/>
    </xf>
    <xf numFmtId="164" fontId="24" fillId="4" borderId="0" xfId="0" applyFont="true" applyBorder="true" applyAlignment="true" applyProtection="false">
      <alignment horizontal="general" vertical="center" textRotation="0" wrapText="false" indent="0" shrinkToFit="false"/>
      <protection locked="true" hidden="false"/>
    </xf>
    <xf numFmtId="164" fontId="25" fillId="4"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26" fillId="4"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28" fillId="4" borderId="0" xfId="0" applyFont="true" applyBorder="true" applyAlignment="true" applyProtection="false">
      <alignment horizontal="left" vertical="center" textRotation="0" wrapText="false" indent="0" shrinkToFit="false"/>
      <protection locked="true" hidden="false"/>
    </xf>
    <xf numFmtId="164" fontId="29" fillId="4" borderId="0" xfId="0" applyFont="true" applyBorder="true" applyAlignment="true" applyProtection="false">
      <alignment horizontal="general" vertical="center" textRotation="0" wrapText="false" indent="0" shrinkToFit="false"/>
      <protection locked="true" hidden="false"/>
    </xf>
    <xf numFmtId="164" fontId="30" fillId="4" borderId="0" xfId="0" applyFont="true" applyBorder="true" applyAlignment="true" applyProtection="false">
      <alignment horizontal="left" vertical="center" textRotation="0" wrapText="false" indent="0" shrinkToFit="false"/>
      <protection locked="true" hidden="false"/>
    </xf>
    <xf numFmtId="164" fontId="31" fillId="4" borderId="0" xfId="0" applyFont="true" applyBorder="true" applyAlignment="true" applyProtection="false">
      <alignment horizontal="general" vertical="center" textRotation="0" wrapText="false" indent="0" shrinkToFit="false"/>
      <protection locked="true" hidden="false"/>
    </xf>
    <xf numFmtId="164" fontId="27" fillId="4" borderId="0" xfId="0" applyFont="true" applyBorder="true" applyAlignment="true" applyProtection="false">
      <alignment horizontal="general" vertical="center" textRotation="0" wrapText="false" indent="0" shrinkToFit="false"/>
      <protection locked="true" hidden="false"/>
    </xf>
    <xf numFmtId="165" fontId="32" fillId="4" borderId="2" xfId="0" applyFont="true" applyBorder="true" applyAlignment="true" applyProtection="false">
      <alignment horizontal="left" vertical="center" textRotation="0" wrapText="false" indent="0" shrinkToFit="false"/>
      <protection locked="true" hidden="false"/>
    </xf>
    <xf numFmtId="164" fontId="33" fillId="4" borderId="3" xfId="0" applyFont="true" applyBorder="true" applyAlignment="true" applyProtection="false">
      <alignment horizontal="right" vertical="center" textRotation="0" wrapText="false" indent="0" shrinkToFit="false"/>
      <protection locked="true" hidden="false"/>
    </xf>
    <xf numFmtId="166" fontId="34" fillId="4" borderId="4" xfId="0" applyFont="true" applyBorder="true" applyAlignment="true" applyProtection="false">
      <alignment horizontal="center" vertical="center" textRotation="0" wrapText="false" indent="0" shrinkToFit="false"/>
      <protection locked="true" hidden="false"/>
    </xf>
    <xf numFmtId="164" fontId="30" fillId="4" borderId="4" xfId="0" applyFont="true" applyBorder="true" applyAlignment="true" applyProtection="false">
      <alignment horizontal="left" vertical="center" textRotation="0" wrapText="false" indent="0" shrinkToFit="false"/>
      <protection locked="true" hidden="false"/>
    </xf>
    <xf numFmtId="164" fontId="35" fillId="4" borderId="0" xfId="0" applyFont="true" applyBorder="true" applyAlignment="true" applyProtection="false">
      <alignment horizontal="left" vertical="center" textRotation="0" wrapText="false" indent="0" shrinkToFit="false"/>
      <protection locked="true" hidden="false"/>
    </xf>
    <xf numFmtId="167" fontId="36" fillId="4" borderId="0" xfId="0" applyFont="true" applyBorder="true" applyAlignment="true" applyProtection="false">
      <alignment horizontal="center" vertical="center" textRotation="0" wrapText="false" indent="0" shrinkToFit="false"/>
      <protection locked="true" hidden="false"/>
    </xf>
    <xf numFmtId="164" fontId="37" fillId="4"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xf numFmtId="165" fontId="38" fillId="0" borderId="0" xfId="0" applyFont="true" applyBorder="false" applyAlignment="true" applyProtection="false">
      <alignment horizontal="left" vertical="center" textRotation="0" wrapText="false" indent="0" shrinkToFit="false"/>
      <protection locked="true" hidden="false"/>
    </xf>
    <xf numFmtId="164" fontId="28" fillId="3"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5" fontId="38" fillId="3"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0" shrinkToFit="false"/>
      <protection locked="true" hidden="false"/>
    </xf>
    <xf numFmtId="164" fontId="26" fillId="3" borderId="0" xfId="0" applyFont="true" applyBorder="true" applyAlignment="true" applyProtection="false">
      <alignment horizontal="general" vertical="bottom" textRotation="0" wrapText="false" indent="0" shrinkToFit="false"/>
      <protection locked="true" hidden="false"/>
    </xf>
    <xf numFmtId="164" fontId="26" fillId="3" borderId="0" xfId="0" applyFont="true" applyBorder="true" applyAlignment="true" applyProtection="false">
      <alignment horizontal="general" vertical="center" textRotation="0" wrapText="false" indent="0" shrinkToFit="false"/>
      <protection locked="true" hidden="false"/>
    </xf>
    <xf numFmtId="164" fontId="39" fillId="3" borderId="0" xfId="0" applyFont="true" applyBorder="true" applyAlignment="true" applyProtection="false">
      <alignment horizontal="left" vertical="center" textRotation="0" wrapText="false" indent="0" shrinkToFit="false"/>
      <protection locked="true" hidden="false"/>
    </xf>
    <xf numFmtId="164" fontId="40" fillId="3" borderId="0" xfId="0" applyFont="true" applyBorder="true" applyAlignment="true" applyProtection="false">
      <alignment horizontal="left" vertical="center" textRotation="0" wrapText="false" indent="0" shrinkToFit="false"/>
      <protection locked="true" hidden="false"/>
    </xf>
    <xf numFmtId="164" fontId="40" fillId="3" borderId="0" xfId="0" applyFont="true" applyBorder="true" applyAlignment="true" applyProtection="false">
      <alignment horizontal="right" vertical="center" textRotation="0" wrapText="false" indent="0" shrinkToFit="false"/>
      <protection locked="true" hidden="false"/>
    </xf>
    <xf numFmtId="164" fontId="41" fillId="3" borderId="0" xfId="0" applyFont="true" applyBorder="true" applyAlignment="true" applyProtection="false">
      <alignment horizontal="left" vertical="center" textRotation="0" wrapText="false" indent="0" shrinkToFit="false"/>
      <protection locked="true" hidden="false"/>
    </xf>
    <xf numFmtId="164" fontId="42" fillId="3" borderId="0" xfId="0" applyFont="true" applyBorder="true" applyAlignment="true" applyProtection="false">
      <alignment horizontal="left" vertical="center" textRotation="0" wrapText="false" indent="0" shrinkToFit="false"/>
      <protection locked="true" hidden="false"/>
    </xf>
    <xf numFmtId="164" fontId="43" fillId="3" borderId="5" xfId="0" applyFont="true" applyBorder="true" applyAlignment="true" applyProtection="false">
      <alignment horizontal="general" vertical="center" textRotation="0" wrapText="false" indent="0" shrinkToFit="false"/>
      <protection locked="true" hidden="false"/>
    </xf>
    <xf numFmtId="168" fontId="43" fillId="3" borderId="5" xfId="0" applyFont="true" applyBorder="true" applyAlignment="true" applyProtection="false">
      <alignment horizontal="general" vertical="center" textRotation="0" wrapText="false" indent="0" shrinkToFit="false"/>
      <protection locked="true" hidden="false"/>
    </xf>
    <xf numFmtId="164" fontId="33" fillId="3" borderId="0" xfId="0" applyFont="true" applyBorder="true" applyAlignment="true" applyProtection="false">
      <alignment horizontal="right" vertical="center" textRotation="0" wrapText="false" indent="0" shrinkToFit="false"/>
      <protection locked="true" hidden="false"/>
    </xf>
    <xf numFmtId="164" fontId="44" fillId="3" borderId="0" xfId="0" applyFont="true" applyBorder="true" applyAlignment="true" applyProtection="false">
      <alignment horizontal="left" vertical="center" textRotation="0" wrapText="false" indent="0" shrinkToFit="false"/>
      <protection locked="true" hidden="false"/>
    </xf>
    <xf numFmtId="164" fontId="45" fillId="4" borderId="0" xfId="0" applyFont="true" applyBorder="true" applyAlignment="true" applyProtection="false">
      <alignment horizontal="center" vertical="center" textRotation="0" wrapText="false" indent="0" shrinkToFit="false"/>
      <protection locked="true" hidden="false"/>
    </xf>
    <xf numFmtId="164" fontId="36" fillId="4" borderId="0" xfId="0" applyFont="true" applyBorder="true" applyAlignment="true" applyProtection="false">
      <alignment horizontal="center" vertical="center" textRotation="0" wrapText="false" indent="0" shrinkToFit="false"/>
      <protection locked="true" hidden="false"/>
    </xf>
    <xf numFmtId="164" fontId="24" fillId="3" borderId="0" xfId="0" applyFont="true" applyBorder="true" applyAlignment="true" applyProtection="false">
      <alignment horizontal="general"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27" fillId="4" borderId="0" xfId="0" applyFont="true" applyBorder="true" applyAlignment="true" applyProtection="false">
      <alignment horizontal="left" vertical="center" textRotation="0" wrapText="false" indent="0" shrinkToFit="false"/>
      <protection locked="true" hidden="false"/>
    </xf>
    <xf numFmtId="164" fontId="36" fillId="4" borderId="0" xfId="0" applyFont="true" applyBorder="true" applyAlignment="true" applyProtection="false">
      <alignment horizontal="center" vertical="center" textRotation="90" wrapText="false" indent="0" shrinkToFit="false"/>
      <protection locked="true" hidden="false"/>
    </xf>
    <xf numFmtId="164" fontId="46" fillId="3" borderId="0" xfId="0" applyFont="true" applyBorder="true" applyAlignment="true" applyProtection="false">
      <alignment horizontal="right"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47" fillId="3" borderId="0" xfId="0" applyFont="true" applyBorder="true" applyAlignment="true" applyProtection="false">
      <alignment horizontal="left" vertical="top" textRotation="0" wrapText="true" indent="0" shrinkToFit="false"/>
      <protection locked="true" hidden="false"/>
    </xf>
    <xf numFmtId="164" fontId="43" fillId="3" borderId="5" xfId="0" applyFont="true" applyBorder="true" applyAlignment="true" applyProtection="false">
      <alignment horizontal="left" vertical="center" textRotation="0" wrapText="false" indent="0" shrinkToFit="false"/>
      <protection locked="true" hidden="false"/>
    </xf>
    <xf numFmtId="169" fontId="43" fillId="3" borderId="5"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48" fillId="4" borderId="0" xfId="0" applyFont="true" applyBorder="true" applyAlignment="true" applyProtection="false">
      <alignment horizontal="center" vertical="center" textRotation="0" wrapText="false" indent="0" shrinkToFit="false"/>
      <protection locked="true" hidden="false"/>
    </xf>
    <xf numFmtId="167" fontId="46" fillId="3" borderId="0" xfId="0" applyFont="true" applyBorder="true" applyAlignment="true" applyProtection="false">
      <alignment horizontal="left" vertical="center" textRotation="0" wrapText="false" indent="0" shrinkToFit="false"/>
      <protection locked="true" hidden="false"/>
    </xf>
    <xf numFmtId="167" fontId="46" fillId="0" borderId="0" xfId="0" applyFont="true" applyBorder="false" applyAlignment="true" applyProtection="false">
      <alignment horizontal="left" vertical="center" textRotation="0" wrapText="fals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0" shrinkToFit="false"/>
      <protection locked="true" hidden="false"/>
    </xf>
    <xf numFmtId="164" fontId="46" fillId="0" borderId="0" xfId="0" applyFont="true" applyBorder="false" applyAlignment="true" applyProtection="false">
      <alignment horizontal="left" vertical="center" textRotation="0" wrapText="false" indent="0" shrinkToFit="false"/>
      <protection locked="true" hidden="false"/>
    </xf>
    <xf numFmtId="164" fontId="49" fillId="0" borderId="0" xfId="0" applyFont="true" applyBorder="false" applyAlignment="true" applyProtection="false">
      <alignment horizontal="left" vertical="center" textRotation="0" wrapText="false" indent="0" shrinkToFit="false"/>
      <protection locked="true" hidden="false"/>
    </xf>
    <xf numFmtId="164" fontId="56" fillId="2" borderId="0" xfId="0" applyFont="true" applyBorder="true" applyAlignment="true" applyProtection="false">
      <alignment horizontal="general" vertical="center" textRotation="0" wrapText="false" indent="0" shrinkToFit="false"/>
      <protection locked="true" hidden="false"/>
    </xf>
    <xf numFmtId="164" fontId="57" fillId="2" borderId="6" xfId="0" applyFont="true" applyBorder="true" applyAlignment="true" applyProtection="false">
      <alignment horizontal="center" vertical="center" textRotation="0" wrapText="false" indent="0" shrinkToFit="false"/>
      <protection locked="true" hidden="false"/>
    </xf>
    <xf numFmtId="164" fontId="57" fillId="2" borderId="6" xfId="0" applyFont="true" applyBorder="true" applyAlignment="true" applyProtection="false">
      <alignment horizontal="left" vertical="center" textRotation="0" wrapText="true" indent="0" shrinkToFit="false"/>
      <protection locked="true" hidden="false"/>
    </xf>
    <xf numFmtId="164" fontId="21" fillId="2" borderId="6" xfId="0" applyFont="true" applyBorder="true" applyAlignment="true" applyProtection="false">
      <alignment horizontal="general" vertical="center" textRotation="0" wrapText="false" indent="0" shrinkToFit="false"/>
      <protection locked="true" hidden="false"/>
    </xf>
    <xf numFmtId="164" fontId="58" fillId="5" borderId="0" xfId="0" applyFont="true" applyBorder="true" applyAlignment="true" applyProtection="false">
      <alignment horizontal="general" vertical="center" textRotation="0" wrapText="false" indent="0" shrinkToFit="false"/>
      <protection locked="true" hidden="false"/>
    </xf>
    <xf numFmtId="164" fontId="59" fillId="6" borderId="7" xfId="0" applyFont="true" applyBorder="true" applyAlignment="true" applyProtection="false">
      <alignment horizontal="general" vertical="center" textRotation="0" wrapText="false" indent="0" shrinkToFit="false"/>
      <protection locked="true" hidden="false"/>
    </xf>
    <xf numFmtId="164" fontId="59" fillId="6" borderId="7" xfId="0" applyFont="true" applyBorder="true" applyAlignment="true" applyProtection="false">
      <alignment horizontal="left" vertical="center" textRotation="0" wrapText="false" indent="0" shrinkToFit="false"/>
      <protection locked="true" hidden="false"/>
    </xf>
    <xf numFmtId="164" fontId="60" fillId="0" borderId="0" xfId="0" applyFont="true" applyBorder="false" applyAlignment="true" applyProtection="false">
      <alignment horizontal="left" vertical="center" textRotation="0" wrapText="false" indent="0" shrinkToFit="false"/>
      <protection locked="true" hidden="false"/>
    </xf>
    <xf numFmtId="164" fontId="60" fillId="7" borderId="8" xfId="0" applyFont="true" applyBorder="true" applyAlignment="true" applyProtection="false">
      <alignment horizontal="left" vertical="center" textRotation="0" wrapText="false" indent="0" shrinkToFit="false"/>
      <protection locked="true" hidden="false"/>
    </xf>
    <xf numFmtId="164" fontId="6" fillId="0" borderId="9" xfId="0" applyFont="true" applyBorder="true" applyAlignment="true" applyProtection="false">
      <alignment horizontal="left" vertical="center" textRotation="0" wrapText="false" indent="0" shrinkToFit="false"/>
      <protection locked="true" hidden="false"/>
    </xf>
    <xf numFmtId="164" fontId="61" fillId="0" borderId="9" xfId="0" applyFont="true" applyBorder="true" applyAlignment="true" applyProtection="false">
      <alignment horizontal="left" vertical="center" textRotation="0" wrapText="false" indent="0" shrinkToFit="false"/>
      <protection locked="true" hidden="false"/>
    </xf>
    <xf numFmtId="164" fontId="62" fillId="4" borderId="10" xfId="0" applyFont="true" applyBorder="true" applyAlignment="true" applyProtection="false">
      <alignment horizontal="general" vertical="center" textRotation="0" wrapText="false" indent="0" shrinkToFit="false"/>
      <protection locked="true" hidden="false"/>
    </xf>
    <xf numFmtId="164" fontId="63" fillId="4" borderId="10" xfId="0" applyFont="true" applyBorder="true" applyAlignment="true" applyProtection="false">
      <alignment horizontal="general" vertical="center" textRotation="0" wrapText="false" indent="0" shrinkToFit="false"/>
      <protection locked="true" hidden="false"/>
    </xf>
    <xf numFmtId="164" fontId="60" fillId="7" borderId="11" xfId="0" applyFont="true" applyBorder="true" applyAlignment="true" applyProtection="false">
      <alignment horizontal="left" vertical="center" textRotation="0" wrapText="false" indent="0" shrinkToFit="false"/>
      <protection locked="true" hidden="false"/>
    </xf>
    <xf numFmtId="164" fontId="64" fillId="4" borderId="9" xfId="0" applyFont="true" applyBorder="true" applyAlignment="true" applyProtection="false">
      <alignment horizontal="left" vertical="center" textRotation="0" wrapText="false" indent="0" shrinkToFit="false"/>
      <protection locked="true" hidden="false"/>
    </xf>
    <xf numFmtId="164" fontId="62" fillId="4" borderId="12" xfId="0" applyFont="true" applyBorder="true" applyAlignment="true" applyProtection="false">
      <alignment horizontal="general" vertical="center" textRotation="0" wrapText="false" indent="0" shrinkToFit="false"/>
      <protection locked="true" hidden="false"/>
    </xf>
    <xf numFmtId="164" fontId="64" fillId="0" borderId="9" xfId="0" applyFont="true" applyBorder="true" applyAlignment="true" applyProtection="false">
      <alignment horizontal="general" vertical="center" textRotation="0" wrapText="false" indent="0" shrinkToFit="false"/>
      <protection locked="true" hidden="false"/>
    </xf>
    <xf numFmtId="164" fontId="65" fillId="0" borderId="9" xfId="0" applyFont="true" applyBorder="true" applyAlignment="true" applyProtection="false">
      <alignment horizontal="general" vertical="center" textRotation="0" wrapText="false" indent="0" shrinkToFit="false"/>
      <protection locked="true" hidden="false"/>
    </xf>
    <xf numFmtId="164" fontId="60" fillId="7" borderId="13" xfId="0" applyFont="true" applyBorder="true" applyAlignment="true" applyProtection="false">
      <alignment horizontal="left" vertical="center" textRotation="0" wrapText="false" indent="0" shrinkToFit="false"/>
      <protection locked="true" hidden="false"/>
    </xf>
    <xf numFmtId="164" fontId="64" fillId="0" borderId="14" xfId="0" applyFont="true" applyBorder="true" applyAlignment="true" applyProtection="false">
      <alignment horizontal="general" vertical="center" textRotation="0" wrapText="false" indent="0" shrinkToFit="false"/>
      <protection locked="true" hidden="false"/>
    </xf>
    <xf numFmtId="164" fontId="65" fillId="0" borderId="14" xfId="0" applyFont="true" applyBorder="true" applyAlignment="true" applyProtection="false">
      <alignment horizontal="general" vertical="center" textRotation="0" wrapText="false" indent="0" shrinkToFit="false"/>
      <protection locked="true" hidden="false"/>
    </xf>
    <xf numFmtId="164" fontId="6" fillId="0" borderId="14" xfId="0" applyFont="true" applyBorder="true" applyAlignment="true" applyProtection="false">
      <alignment horizontal="left" vertical="center" textRotation="0" wrapText="false" indent="0" shrinkToFit="false"/>
      <protection locked="true" hidden="false"/>
    </xf>
    <xf numFmtId="164" fontId="6" fillId="0" borderId="14" xfId="0" applyFont="true" applyBorder="true" applyAlignment="true" applyProtection="false">
      <alignment horizontal="general" vertical="center" textRotation="0" wrapText="false" indent="0" shrinkToFit="false"/>
      <protection locked="true" hidden="false"/>
    </xf>
    <xf numFmtId="164" fontId="57" fillId="2" borderId="6" xfId="0" applyFont="true" applyBorder="true" applyAlignment="true" applyProtection="false">
      <alignment horizontal="general" vertical="center" textRotation="0" wrapText="true" indent="0" shrinkToFit="false"/>
      <protection locked="true" hidden="false"/>
    </xf>
    <xf numFmtId="164" fontId="4" fillId="5" borderId="0" xfId="0" applyFont="true" applyBorder="true" applyAlignment="true" applyProtection="false">
      <alignment horizontal="general" vertical="center" textRotation="0" wrapText="false" indent="0" shrinkToFit="false"/>
      <protection locked="true" hidden="false"/>
    </xf>
    <xf numFmtId="164" fontId="67" fillId="0" borderId="0" xfId="0" applyFont="true" applyBorder="false" applyAlignment="true" applyProtection="false">
      <alignment horizontal="center" vertical="center" textRotation="0" wrapText="false" indent="0" shrinkToFit="false"/>
      <protection locked="true" hidden="false"/>
    </xf>
    <xf numFmtId="164" fontId="9" fillId="7" borderId="8" xfId="0" applyFont="true" applyBorder="true" applyAlignment="true" applyProtection="false">
      <alignment horizontal="left" vertical="center" textRotation="0" wrapText="false" indent="0" shrinkToFit="false"/>
      <protection locked="true" hidden="false"/>
    </xf>
    <xf numFmtId="164" fontId="6" fillId="0" borderId="9" xfId="0" applyFont="true" applyBorder="true" applyAlignment="true" applyProtection="false">
      <alignment horizontal="general" vertical="center" textRotation="0" wrapText="false" indent="0" shrinkToFit="false"/>
      <protection locked="true" hidden="false"/>
    </xf>
    <xf numFmtId="164" fontId="68" fillId="0" borderId="9" xfId="0" applyFont="true" applyBorder="true" applyAlignment="true" applyProtection="false">
      <alignment horizontal="general" vertical="center" textRotation="0" wrapText="false" indent="0" shrinkToFit="false"/>
      <protection locked="true" hidden="false"/>
    </xf>
    <xf numFmtId="164" fontId="6" fillId="0" borderId="7" xfId="0" applyFont="true" applyBorder="true" applyAlignment="true" applyProtection="false">
      <alignment horizontal="general" vertical="center" textRotation="0" wrapText="false" indent="0" shrinkToFit="false"/>
      <protection locked="true" hidden="false"/>
    </xf>
    <xf numFmtId="164" fontId="68" fillId="0" borderId="7" xfId="0" applyFont="true" applyBorder="true" applyAlignment="true" applyProtection="false">
      <alignment horizontal="general" vertical="center" textRotation="0" wrapText="false" indent="0" shrinkToFit="false"/>
      <protection locked="true" hidden="false"/>
    </xf>
    <xf numFmtId="164" fontId="6" fillId="0" borderId="7" xfId="0" applyFont="true" applyBorder="true" applyAlignment="true" applyProtection="false">
      <alignment horizontal="left" vertical="center" textRotation="0" wrapText="false" indent="0" shrinkToFit="false"/>
      <protection locked="true" hidden="false"/>
    </xf>
    <xf numFmtId="164" fontId="9" fillId="7" borderId="15" xfId="0" applyFont="true" applyBorder="true" applyAlignment="true" applyProtection="false">
      <alignment horizontal="left" vertical="center" textRotation="0" wrapText="false" indent="0" shrinkToFit="false"/>
      <protection locked="true" hidden="false"/>
    </xf>
    <xf numFmtId="164" fontId="6" fillId="0" borderId="10" xfId="0" applyFont="true" applyBorder="true" applyAlignment="true" applyProtection="false">
      <alignment horizontal="general" vertical="center" textRotation="0" wrapText="false" indent="0" shrinkToFit="false"/>
      <protection locked="true" hidden="false"/>
    </xf>
    <xf numFmtId="164" fontId="68" fillId="0" borderId="10" xfId="0" applyFont="true" applyBorder="true" applyAlignment="true" applyProtection="false">
      <alignment horizontal="general" vertical="center" textRotation="0" wrapText="false" indent="0" shrinkToFit="false"/>
      <protection locked="true" hidden="false"/>
    </xf>
    <xf numFmtId="164" fontId="6" fillId="0" borderId="10" xfId="0" applyFont="true" applyBorder="true" applyAlignment="true" applyProtection="false">
      <alignment horizontal="left" vertical="center" textRotation="0" wrapText="false" indent="0" shrinkToFit="false"/>
      <protection locked="true" hidden="false"/>
    </xf>
    <xf numFmtId="164" fontId="6" fillId="6" borderId="0" xfId="0" applyFont="true" applyBorder="true" applyAlignment="true" applyProtection="false">
      <alignment horizontal="general" vertical="center" textRotation="0" wrapText="false" indent="0" shrinkToFit="false"/>
      <protection locked="true" hidden="false"/>
    </xf>
    <xf numFmtId="164" fontId="6" fillId="6" borderId="0" xfId="0" applyFont="true" applyBorder="true" applyAlignment="true" applyProtection="false">
      <alignment horizontal="right" vertical="center" textRotation="0" wrapText="false" indent="0" shrinkToFit="false"/>
      <protection locked="true" hidden="false"/>
    </xf>
    <xf numFmtId="164" fontId="59" fillId="6" borderId="0" xfId="0" applyFont="true" applyBorder="true" applyAlignment="true" applyProtection="false">
      <alignment horizontal="general" vertical="center" textRotation="0" wrapText="false" indent="0" shrinkToFit="false"/>
      <protection locked="true" hidden="false"/>
    </xf>
    <xf numFmtId="164" fontId="69" fillId="8" borderId="0" xfId="0" applyFont="true" applyBorder="false" applyAlignment="true" applyProtection="false">
      <alignment horizontal="center" vertical="center" textRotation="0" wrapText="true" indent="0" shrinkToFit="false"/>
      <protection locked="true" hidden="false"/>
    </xf>
    <xf numFmtId="165" fontId="6" fillId="0" borderId="7" xfId="0" applyFont="true" applyBorder="true" applyAlignment="true" applyProtection="false">
      <alignment horizontal="general" vertical="center" textRotation="0" wrapText="false" indent="0" shrinkToFit="false"/>
      <protection locked="true" hidden="false"/>
    </xf>
    <xf numFmtId="170" fontId="6" fillId="0" borderId="7" xfId="0" applyFont="true" applyBorder="true" applyAlignment="true" applyProtection="false">
      <alignment horizontal="general" vertical="center" textRotation="0" wrapText="false" indent="0" shrinkToFit="false"/>
      <protection locked="true" hidden="false"/>
    </xf>
    <xf numFmtId="171" fontId="6" fillId="0" borderId="7"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true" applyProtection="false">
      <alignment horizontal="left"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0" borderId="9" xfId="0" applyFont="true" applyBorder="true" applyAlignment="true" applyProtection="false">
      <alignment horizontal="general" vertical="center" textRotation="0" wrapText="false" indent="0" shrinkToFit="false"/>
      <protection locked="true" hidden="false"/>
    </xf>
    <xf numFmtId="170" fontId="6" fillId="0" borderId="9" xfId="0" applyFont="true" applyBorder="true" applyAlignment="true" applyProtection="false">
      <alignment horizontal="general" vertical="center" textRotation="0" wrapText="false" indent="0" shrinkToFit="false"/>
      <protection locked="true" hidden="false"/>
    </xf>
    <xf numFmtId="171" fontId="6" fillId="0" borderId="9" xfId="0" applyFont="true" applyBorder="true" applyAlignment="true" applyProtection="false">
      <alignment horizontal="center" vertical="center" textRotation="0" wrapText="false" indent="0" shrinkToFit="false"/>
      <protection locked="true" hidden="false"/>
    </xf>
    <xf numFmtId="172" fontId="6" fillId="0" borderId="0" xfId="0" applyFont="true" applyBorder="false" applyAlignment="true" applyProtection="false">
      <alignment horizontal="general" vertical="center" textRotation="0" wrapText="false" indent="0" shrinkToFit="false"/>
      <protection locked="true" hidden="false"/>
    </xf>
    <xf numFmtId="164" fontId="9" fillId="7" borderId="15" xfId="0" applyFont="true" applyBorder="true" applyAlignment="true" applyProtection="false">
      <alignment horizontal="general" vertical="center" textRotation="0" wrapText="false" indent="0" shrinkToFit="false"/>
      <protection locked="true" hidden="false"/>
    </xf>
    <xf numFmtId="165" fontId="6" fillId="0" borderId="14" xfId="0" applyFont="true" applyBorder="true" applyAlignment="true" applyProtection="false">
      <alignment horizontal="general" vertical="center" textRotation="0" wrapText="false" indent="0" shrinkToFit="false"/>
      <protection locked="true" hidden="false"/>
    </xf>
    <xf numFmtId="170" fontId="6" fillId="0" borderId="14" xfId="0" applyFont="true" applyBorder="true" applyAlignment="true" applyProtection="false">
      <alignment horizontal="general" vertical="center" textRotation="0" wrapText="false" indent="0" shrinkToFit="false"/>
      <protection locked="true" hidden="false"/>
    </xf>
    <xf numFmtId="171" fontId="6" fillId="0" borderId="14" xfId="0" applyFont="true" applyBorder="true" applyAlignment="true" applyProtection="false">
      <alignment horizontal="center" vertical="center" textRotation="0" wrapText="false" indent="0" shrinkToFit="false"/>
      <protection locked="true" hidden="false"/>
    </xf>
    <xf numFmtId="164" fontId="6" fillId="4" borderId="1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72" fontId="6" fillId="4"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0"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center" textRotation="0" wrapText="false" indent="0" shrinkToFit="false"/>
      <protection locked="true" hidden="false"/>
    </xf>
    <xf numFmtId="164" fontId="57" fillId="2" borderId="0" xfId="0" applyFont="true" applyBorder="true" applyAlignment="true" applyProtection="false">
      <alignment horizontal="center" vertical="center" textRotation="0" wrapText="false" indent="0" shrinkToFit="false"/>
      <protection locked="true" hidden="false"/>
    </xf>
    <xf numFmtId="164" fontId="57" fillId="2" borderId="0" xfId="0" applyFont="true" applyBorder="true" applyAlignment="true" applyProtection="false">
      <alignment horizontal="general" vertical="center"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70" fontId="9" fillId="7" borderId="8" xfId="0" applyFont="true" applyBorder="true" applyAlignment="true" applyProtection="false">
      <alignment horizontal="left" vertical="center" textRotation="0" wrapText="false" indent="0" shrinkToFit="false"/>
      <protection locked="true" hidden="false"/>
    </xf>
    <xf numFmtId="164" fontId="6" fillId="0" borderId="7" xfId="0" applyFont="true" applyBorder="true" applyAlignment="true" applyProtection="false">
      <alignment horizontal="center" vertical="center" textRotation="0" wrapText="false" indent="0" shrinkToFit="false"/>
      <protection locked="true" hidden="false"/>
    </xf>
    <xf numFmtId="164" fontId="20" fillId="2" borderId="0" xfId="0" applyFont="true" applyBorder="true" applyAlignment="true" applyProtection="false">
      <alignment horizontal="left" vertical="center" textRotation="0" wrapText="false" indent="0" shrinkToFit="false"/>
      <protection locked="true" hidden="false"/>
    </xf>
    <xf numFmtId="164" fontId="71" fillId="2" borderId="0" xfId="0" applyFont="true" applyBorder="true" applyAlignment="true" applyProtection="false">
      <alignment horizontal="left" vertical="center" textRotation="0" wrapText="false" indent="0" shrinkToFit="false"/>
      <protection locked="true" hidden="false"/>
    </xf>
    <xf numFmtId="164" fontId="4" fillId="9" borderId="16" xfId="0" applyFont="true" applyBorder="true" applyAlignment="true" applyProtection="false">
      <alignment horizontal="left" vertical="center" textRotation="0" wrapText="false" indent="0" shrinkToFit="false"/>
      <protection locked="true" hidden="false"/>
    </xf>
    <xf numFmtId="164" fontId="4" fillId="9" borderId="17" xfId="0" applyFont="true" applyBorder="true" applyAlignment="true" applyProtection="false">
      <alignment horizontal="left" vertical="center" textRotation="0" wrapText="false" indent="0" shrinkToFit="false"/>
      <protection locked="true" hidden="false"/>
    </xf>
    <xf numFmtId="164" fontId="4" fillId="9" borderId="18" xfId="0" applyFont="true" applyBorder="true" applyAlignment="true" applyProtection="false">
      <alignment horizontal="left" vertical="center" textRotation="0" wrapText="false" indent="0" shrinkToFit="false"/>
      <protection locked="true" hidden="false"/>
    </xf>
    <xf numFmtId="164" fontId="72" fillId="3" borderId="19" xfId="0" applyFont="true" applyBorder="true" applyAlignment="true" applyProtection="false">
      <alignment horizontal="left" vertical="center" textRotation="0" wrapText="false" indent="0" shrinkToFit="false"/>
      <protection locked="true" hidden="false"/>
    </xf>
    <xf numFmtId="164" fontId="9" fillId="4" borderId="19"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434343"/>
          <bgColor rgb="FF000000"/>
        </patternFill>
      </fill>
    </dxf>
    <dxf>
      <fill>
        <patternFill patternType="solid">
          <fgColor rgb="FFCFE2F3"/>
          <bgColor rgb="FF000000"/>
        </patternFill>
      </fill>
    </dxf>
    <dxf>
      <fill>
        <patternFill patternType="solid">
          <fgColor rgb="FF303F46"/>
          <bgColor rgb="FF000000"/>
        </patternFill>
      </fill>
    </dxf>
    <dxf>
      <fill>
        <patternFill patternType="solid">
          <fgColor rgb="FFFFFFFF"/>
          <bgColor rgb="FF000000"/>
        </patternFill>
      </fill>
    </dxf>
    <dxf>
      <fill>
        <patternFill patternType="solid">
          <fgColor rgb="FFE9E9E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2E404D"/>
      <rgbColor rgb="FF808000"/>
      <rgbColor rgb="FF990099"/>
      <rgbColor rgb="FF0B5394"/>
      <rgbColor rgb="FFB7B7B7"/>
      <rgbColor rgb="FF888888"/>
      <rgbColor rgb="FF6D9EEB"/>
      <rgbColor rgb="FF434343"/>
      <rgbColor rgb="FFF3F3F3"/>
      <rgbColor rgb="FFCFE2F3"/>
      <rgbColor rgb="FF303F46"/>
      <rgbColor rgb="FFFF8080"/>
      <rgbColor rgb="FF0A78D1"/>
      <rgbColor rgb="FFCCCCCC"/>
      <rgbColor rgb="FF000080"/>
      <rgbColor rgb="FFFF00FF"/>
      <rgbColor rgb="FFFFFF00"/>
      <rgbColor rgb="FF00FFFF"/>
      <rgbColor rgb="FF800080"/>
      <rgbColor rgb="FF800000"/>
      <rgbColor rgb="FF1155CC"/>
      <rgbColor rgb="FF0000FF"/>
      <rgbColor rgb="FF00CCFF"/>
      <rgbColor rgb="FFEFEFF1"/>
      <rgbColor rgb="FFE9E9E9"/>
      <rgbColor rgb="FFFFFF99"/>
      <rgbColor rgb="FF99CCFF"/>
      <rgbColor rgb="FFFF99CC"/>
      <rgbColor rgb="FFCC99FF"/>
      <rgbColor rgb="FFD9D9D9"/>
      <rgbColor rgb="FF3C78D8"/>
      <rgbColor rgb="FF2196F3"/>
      <rgbColor rgb="FF99CC00"/>
      <rgbColor rgb="FFFFCC00"/>
      <rgbColor rgb="FFFF9900"/>
      <rgbColor rgb="FFFF6600"/>
      <rgbColor rgb="FF6B6B80"/>
      <rgbColor rgb="FF757575"/>
      <rgbColor rgb="FF073763"/>
      <rgbColor rgb="FF339966"/>
      <rgbColor rgb="FF1A1A2E"/>
      <rgbColor rgb="FF222222"/>
      <rgbColor rgb="FF993300"/>
      <rgbColor rgb="FF3D4DB7"/>
      <rgbColor rgb="FF4C2E8E"/>
      <rgbColor rgb="FF3636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757575"/>
                </a:solidFill>
                <a:latin typeface="Arial"/>
                <a:ea typeface="Arial"/>
              </a:defRPr>
            </a:pPr>
            <a:r>
              <a:rPr b="0" sz="1300" spc="-1" strike="noStrike">
                <a:solidFill>
                  <a:srgbClr val="757575"/>
                </a:solidFill>
                <a:latin typeface="Arial"/>
                <a:ea typeface="Arial"/>
              </a:rPr>
              <a:t>ANZAHL DER GESCHÄFTSCHANCEN PRO PHASE</a:t>
            </a:r>
          </a:p>
        </c:rich>
      </c:tx>
      <c:overlay val="0"/>
      <c:spPr>
        <a:noFill/>
        <a:ln w="0">
          <a:noFill/>
        </a:ln>
      </c:spPr>
    </c:title>
    <c:autoTitleDeleted val="0"/>
    <c:plotArea>
      <c:layout>
        <c:manualLayout>
          <c:xMode val="edge"/>
          <c:yMode val="edge"/>
          <c:x val="0.0733033370828646"/>
          <c:y val="0.217719924417384"/>
          <c:w val="0.735845519310086"/>
          <c:h val="0.656519000629855"/>
        </c:manualLayout>
      </c:layout>
      <c:barChart>
        <c:barDir val="bar"/>
        <c:grouping val="clustered"/>
        <c:varyColors val="0"/>
        <c:ser>
          <c:idx val="0"/>
          <c:order val="0"/>
          <c:tx>
            <c:strRef>
              <c:f>"Bestätigt"</c:f>
              <c:strCache>
                <c:ptCount val="1"/>
                <c:pt idx="0">
                  <c:v>Bestätigt</c:v>
                </c:pt>
              </c:strCache>
            </c:strRef>
          </c:tx>
          <c:spPr>
            <a:solidFill>
              <a:srgbClr val="07376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Dashboard!$M$11</c:f>
              <c:strCache>
                <c:ptCount val="1"/>
                <c:pt idx="0">
                  <c:v>Anzahl</c:v>
                </c:pt>
              </c:strCache>
            </c:strRef>
          </c:cat>
          <c:val>
            <c:numRef>
              <c:f>Dashboard!$M$12</c:f>
              <c:numCache>
                <c:formatCode>0</c:formatCode>
                <c:ptCount val="1"/>
                <c:pt idx="0">
                  <c:v>6</c:v>
                </c:pt>
              </c:numCache>
            </c:numRef>
          </c:val>
        </c:ser>
        <c:ser>
          <c:idx val="1"/>
          <c:order val="1"/>
          <c:tx>
            <c:strRef>
              <c:f>"Nachverfolgung"</c:f>
              <c:strCache>
                <c:ptCount val="1"/>
                <c:pt idx="0">
                  <c:v>Nachverfolgung</c:v>
                </c:pt>
              </c:strCache>
            </c:strRef>
          </c:tx>
          <c:spPr>
            <a:solidFill>
              <a:srgbClr val="0b539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Dashboard!$M$11</c:f>
              <c:strCache>
                <c:ptCount val="1"/>
                <c:pt idx="0">
                  <c:v>Anzahl</c:v>
                </c:pt>
              </c:strCache>
            </c:strRef>
          </c:cat>
          <c:val>
            <c:numRef>
              <c:f>Dashboard!$M$13</c:f>
              <c:numCache>
                <c:formatCode>0</c:formatCode>
                <c:ptCount val="1"/>
                <c:pt idx="0">
                  <c:v>7</c:v>
                </c:pt>
              </c:numCache>
            </c:numRef>
          </c:val>
        </c:ser>
        <c:ser>
          <c:idx val="2"/>
          <c:order val="2"/>
          <c:tx>
            <c:strRef>
              <c:f>"Präsentation"</c:f>
              <c:strCache>
                <c:ptCount val="1"/>
                <c:pt idx="0">
                  <c:v>Präsentation</c:v>
                </c:pt>
              </c:strCache>
            </c:strRef>
          </c:tx>
          <c:spPr>
            <a:solidFill>
              <a:srgbClr val="1155c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Dashboard!$M$11</c:f>
              <c:strCache>
                <c:ptCount val="1"/>
                <c:pt idx="0">
                  <c:v>Anzahl</c:v>
                </c:pt>
              </c:strCache>
            </c:strRef>
          </c:cat>
          <c:val>
            <c:numRef>
              <c:f>Dashboard!$M$14</c:f>
              <c:numCache>
                <c:formatCode>0</c:formatCode>
                <c:ptCount val="1"/>
                <c:pt idx="0">
                  <c:v>5</c:v>
                </c:pt>
              </c:numCache>
            </c:numRef>
          </c:val>
        </c:ser>
        <c:ser>
          <c:idx val="3"/>
          <c:order val="3"/>
          <c:tx>
            <c:strRef>
              <c:f>"Verhandlung"</c:f>
              <c:strCache>
                <c:ptCount val="1"/>
                <c:pt idx="0">
                  <c:v>Verhandlung</c:v>
                </c:pt>
              </c:strCache>
            </c:strRef>
          </c:tx>
          <c:spPr>
            <a:solidFill>
              <a:srgbClr val="3c78d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Dashboard!$M$11</c:f>
              <c:strCache>
                <c:ptCount val="1"/>
                <c:pt idx="0">
                  <c:v>Anzahl</c:v>
                </c:pt>
              </c:strCache>
            </c:strRef>
          </c:cat>
          <c:val>
            <c:numRef>
              <c:f>Dashboard!$M$15</c:f>
              <c:numCache>
                <c:formatCode>0</c:formatCode>
                <c:ptCount val="1"/>
                <c:pt idx="0">
                  <c:v>4</c:v>
                </c:pt>
              </c:numCache>
            </c:numRef>
          </c:val>
        </c:ser>
        <c:ser>
          <c:idx val="4"/>
          <c:order val="4"/>
          <c:tx>
            <c:strRef>
              <c:f>"Vertrag gesendet"</c:f>
              <c:strCache>
                <c:ptCount val="1"/>
                <c:pt idx="0">
                  <c:v>Vertrag gesendet</c:v>
                </c:pt>
              </c:strCache>
            </c:strRef>
          </c:tx>
          <c:spPr>
            <a:solidFill>
              <a:srgbClr val="6d9ee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Dashboard!$M$11</c:f>
              <c:strCache>
                <c:ptCount val="1"/>
                <c:pt idx="0">
                  <c:v>Anzahl</c:v>
                </c:pt>
              </c:strCache>
            </c:strRef>
          </c:cat>
          <c:val>
            <c:numRef>
              <c:f>Dashboard!$M$16</c:f>
              <c:numCache>
                <c:formatCode>0</c:formatCode>
                <c:ptCount val="1"/>
                <c:pt idx="0">
                  <c:v>2</c:v>
                </c:pt>
              </c:numCache>
            </c:numRef>
          </c:val>
        </c:ser>
        <c:gapWidth val="150"/>
        <c:overlap val="0"/>
        <c:axId val="66578125"/>
        <c:axId val="67428141"/>
      </c:barChart>
      <c:catAx>
        <c:axId val="66578125"/>
        <c:scaling>
          <c:orientation val="maxMin"/>
        </c:scaling>
        <c:delete val="0"/>
        <c:axPos val="b"/>
        <c:title>
          <c:tx>
            <c:rich>
              <a:bodyPr rot="-5400000"/>
              <a:lstStyle/>
              <a:p>
                <a:pPr>
                  <a:defRPr b="0" sz="1300" spc="-1" strike="noStrike">
                    <a:solidFill>
                      <a:srgbClr val="000000"/>
                    </a:solidFill>
                    <a:latin typeface="Arial"/>
                    <a:ea typeface="Arial"/>
                  </a:defRPr>
                </a:pPr>
                <a:r>
                  <a:rPr b="0" sz="1300" spc="-1" strike="noStrike">
                    <a:solidFill>
                      <a:srgbClr val="000000"/>
                    </a:solidFill>
                    <a:latin typeface="Arial"/>
                    <a:ea typeface="Arial"/>
                  </a:rPr>
                  <a:t>None</a:t>
                </a:r>
              </a:p>
            </c:rich>
          </c:tx>
          <c:overlay val="0"/>
          <c:spPr>
            <a:noFill/>
            <a:ln w="0">
              <a:noFill/>
            </a:ln>
          </c:spPr>
        </c:title>
        <c:numFmt formatCode="General" sourceLinked="0"/>
        <c:majorTickMark val="none"/>
        <c:minorTickMark val="none"/>
        <c:tickLblPos val="nextTo"/>
        <c:spPr>
          <a:ln w="6480">
            <a:noFill/>
          </a:ln>
        </c:spPr>
        <c:txPr>
          <a:bodyPr/>
          <a:lstStyle/>
          <a:p>
            <a:pPr>
              <a:defRPr b="0" sz="1200" spc="-1" strike="noStrike">
                <a:solidFill>
                  <a:srgbClr val="000000"/>
                </a:solidFill>
                <a:latin typeface="Roboto"/>
                <a:ea typeface="Arial"/>
              </a:defRPr>
            </a:pPr>
          </a:p>
        </c:txPr>
        <c:crossAx val="67428141"/>
        <c:crosses val="autoZero"/>
        <c:auto val="1"/>
        <c:lblAlgn val="ctr"/>
        <c:lblOffset val="100"/>
        <c:noMultiLvlLbl val="0"/>
      </c:catAx>
      <c:valAx>
        <c:axId val="67428141"/>
        <c:scaling>
          <c:orientation val="minMax"/>
        </c:scaling>
        <c:delete val="0"/>
        <c:axPos val="l"/>
        <c:majorGridlines>
          <c:spPr>
            <a:ln w="6480">
              <a:solidFill>
                <a:srgbClr val="b7b7b7"/>
              </a:solidFill>
              <a:round/>
            </a:ln>
          </c:spPr>
        </c:majorGridlines>
        <c:minorGridlines>
          <c:spPr>
            <a:ln w="6480">
              <a:solidFill>
                <a:srgbClr val="cccccc"/>
              </a:solidFill>
              <a:round/>
            </a:ln>
          </c:spPr>
        </c:minorGridlines>
        <c:title>
          <c:tx>
            <c:rich>
              <a:bodyPr rot="0"/>
              <a:lstStyle/>
              <a:p>
                <a:pPr>
                  <a:defRPr b="0" sz="1300" spc="-1" strike="noStrike">
                    <a:solidFill>
                      <a:srgbClr val="000000"/>
                    </a:solidFill>
                    <a:latin typeface="Arial"/>
                    <a:ea typeface="Arial"/>
                  </a:defRPr>
                </a:pPr>
                <a:r>
                  <a:rPr b="0" sz="1300" spc="-1" strike="noStrike">
                    <a:solidFill>
                      <a:srgbClr val="000000"/>
                    </a:solidFill>
                    <a:latin typeface="Arial"/>
                    <a:ea typeface="Arial"/>
                  </a:rPr>
                  <a:t>None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Roboto"/>
                <a:ea typeface="Arial"/>
              </a:defRPr>
            </a:pPr>
          </a:p>
        </c:txPr>
        <c:crossAx val="66578125"/>
        <c:crosses val="max"/>
        <c:crossBetween val="between"/>
      </c:valAx>
      <c:spPr>
        <a:noFill/>
        <a:ln w="0">
          <a:noFill/>
        </a:ln>
      </c:spPr>
    </c:plotArea>
    <c:legend>
      <c:legendPos val="r"/>
      <c:overlay val="0"/>
      <c:spPr>
        <a:noFill/>
        <a:ln w="0">
          <a:noFill/>
        </a:ln>
      </c:spPr>
      <c:txPr>
        <a:bodyPr/>
        <a:lstStyle/>
        <a:p>
          <a:pPr>
            <a:defRPr b="0" sz="900" spc="-1" strike="noStrike">
              <a:solidFill>
                <a:srgbClr val="073763"/>
              </a:solidFill>
              <a:latin typeface="Roboto"/>
              <a:ea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757575"/>
                </a:solidFill>
                <a:latin typeface="Arial"/>
                <a:ea typeface="Arial"/>
              </a:defRPr>
            </a:pPr>
            <a:r>
              <a:rPr b="0" sz="1300" spc="-1" strike="noStrike">
                <a:solidFill>
                  <a:srgbClr val="757575"/>
                </a:solidFill>
                <a:latin typeface="Arial"/>
                <a:ea typeface="Arial"/>
              </a:rPr>
              <a:t>WERT DER GESCHÄFTSCHANCEN PRO PHASE</a:t>
            </a:r>
          </a:p>
        </c:rich>
      </c:tx>
      <c:overlay val="0"/>
      <c:spPr>
        <a:noFill/>
        <a:ln w="0">
          <a:noFill/>
        </a:ln>
      </c:spPr>
    </c:title>
    <c:autoTitleDeleted val="0"/>
    <c:plotArea>
      <c:layout>
        <c:manualLayout>
          <c:xMode val="edge"/>
          <c:yMode val="edge"/>
          <c:x val="0.0832020997375328"/>
          <c:y val="0.201294633535185"/>
          <c:w val="0.753918260217473"/>
          <c:h val="0.688870327834621"/>
        </c:manualLayout>
      </c:layout>
      <c:barChart>
        <c:barDir val="bar"/>
        <c:grouping val="clustered"/>
        <c:varyColors val="0"/>
        <c:ser>
          <c:idx val="0"/>
          <c:order val="0"/>
          <c:tx>
            <c:strRef>
              <c:f>"Bestätigt"</c:f>
              <c:strCache>
                <c:ptCount val="1"/>
                <c:pt idx="0">
                  <c:v>Bestätigt</c:v>
                </c:pt>
              </c:strCache>
            </c:strRef>
          </c:tx>
          <c:spPr>
            <a:solidFill>
              <a:srgbClr val="07376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Dashboard!$M$19</c:f>
              <c:strCache>
                <c:ptCount val="1"/>
                <c:pt idx="0">
                  <c:v>Gesamtwert</c:v>
                </c:pt>
              </c:strCache>
            </c:strRef>
          </c:cat>
          <c:val>
            <c:numRef>
              <c:f>Dashboard!$M$20</c:f>
              <c:numCache>
                <c:formatCode>#,##0" €"</c:formatCode>
                <c:ptCount val="1"/>
                <c:pt idx="0">
                  <c:v>101964</c:v>
                </c:pt>
              </c:numCache>
            </c:numRef>
          </c:val>
        </c:ser>
        <c:ser>
          <c:idx val="1"/>
          <c:order val="1"/>
          <c:tx>
            <c:strRef>
              <c:f>"Nachverfolgung"</c:f>
              <c:strCache>
                <c:ptCount val="1"/>
                <c:pt idx="0">
                  <c:v>Nachverfolgung</c:v>
                </c:pt>
              </c:strCache>
            </c:strRef>
          </c:tx>
          <c:spPr>
            <a:solidFill>
              <a:srgbClr val="0b539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Dashboard!$M$19</c:f>
              <c:strCache>
                <c:ptCount val="1"/>
                <c:pt idx="0">
                  <c:v>Gesamtwert</c:v>
                </c:pt>
              </c:strCache>
            </c:strRef>
          </c:cat>
          <c:val>
            <c:numRef>
              <c:f>Dashboard!$M$21</c:f>
              <c:numCache>
                <c:formatCode>#,##0" €"</c:formatCode>
                <c:ptCount val="1"/>
                <c:pt idx="0">
                  <c:v>21960</c:v>
                </c:pt>
              </c:numCache>
            </c:numRef>
          </c:val>
        </c:ser>
        <c:ser>
          <c:idx val="2"/>
          <c:order val="2"/>
          <c:tx>
            <c:strRef>
              <c:f>"Präsentation"</c:f>
              <c:strCache>
                <c:ptCount val="1"/>
                <c:pt idx="0">
                  <c:v>Präsentation</c:v>
                </c:pt>
              </c:strCache>
            </c:strRef>
          </c:tx>
          <c:spPr>
            <a:solidFill>
              <a:srgbClr val="3c78d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Dashboard!$M$19</c:f>
              <c:strCache>
                <c:ptCount val="1"/>
                <c:pt idx="0">
                  <c:v>Gesamtwert</c:v>
                </c:pt>
              </c:strCache>
            </c:strRef>
          </c:cat>
          <c:val>
            <c:numRef>
              <c:f>Dashboard!$M$22</c:f>
              <c:numCache>
                <c:formatCode>#,##0" €"</c:formatCode>
                <c:ptCount val="1"/>
                <c:pt idx="0">
                  <c:v>37920</c:v>
                </c:pt>
              </c:numCache>
            </c:numRef>
          </c:val>
        </c:ser>
        <c:ser>
          <c:idx val="3"/>
          <c:order val="3"/>
          <c:tx>
            <c:strRef>
              <c:f>"Verhandlung"</c:f>
              <c:strCache>
                <c:ptCount val="1"/>
                <c:pt idx="0">
                  <c:v>Verhandlung</c:v>
                </c:pt>
              </c:strCache>
            </c:strRef>
          </c:tx>
          <c:spPr>
            <a:solidFill>
              <a:srgbClr val="6d9ee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Dashboard!$M$19</c:f>
              <c:strCache>
                <c:ptCount val="1"/>
                <c:pt idx="0">
                  <c:v>Gesamtwert</c:v>
                </c:pt>
              </c:strCache>
            </c:strRef>
          </c:cat>
          <c:val>
            <c:numRef>
              <c:f>Dashboard!$M$23</c:f>
              <c:numCache>
                <c:formatCode>#,##0" €"</c:formatCode>
                <c:ptCount val="1"/>
                <c:pt idx="0">
                  <c:v>54444</c:v>
                </c:pt>
              </c:numCache>
            </c:numRef>
          </c:val>
        </c:ser>
        <c:ser>
          <c:idx val="4"/>
          <c:order val="4"/>
          <c:tx>
            <c:strRef>
              <c:f>"Vertrag gesendet"</c:f>
              <c:strCache>
                <c:ptCount val="1"/>
                <c:pt idx="0">
                  <c:v>Vertrag gesendet</c:v>
                </c:pt>
              </c:strCache>
            </c:strRef>
          </c:tx>
          <c:spPr>
            <a:solidFill>
              <a:srgbClr val="99009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Dashboard!$M$19</c:f>
              <c:strCache>
                <c:ptCount val="1"/>
                <c:pt idx="0">
                  <c:v>Gesamtwert</c:v>
                </c:pt>
              </c:strCache>
            </c:strRef>
          </c:cat>
          <c:val>
            <c:numRef>
              <c:f>Dashboard!$M$24</c:f>
              <c:numCache>
                <c:formatCode>#,##0" €"</c:formatCode>
                <c:ptCount val="1"/>
                <c:pt idx="0">
                  <c:v>8172</c:v>
                </c:pt>
              </c:numCache>
            </c:numRef>
          </c:val>
        </c:ser>
        <c:gapWidth val="150"/>
        <c:overlap val="0"/>
        <c:axId val="15292893"/>
        <c:axId val="9563180"/>
      </c:barChart>
      <c:catAx>
        <c:axId val="15292893"/>
        <c:scaling>
          <c:orientation val="maxMin"/>
        </c:scaling>
        <c:delete val="0"/>
        <c:axPos val="b"/>
        <c:title>
          <c:tx>
            <c:rich>
              <a:bodyPr rot="-5400000"/>
              <a:lstStyle/>
              <a:p>
                <a:pPr>
                  <a:defRPr b="0" sz="1300" spc="-1" strike="noStrike">
                    <a:solidFill>
                      <a:srgbClr val="000000"/>
                    </a:solidFill>
                    <a:latin typeface="Arial"/>
                    <a:ea typeface="Arial"/>
                  </a:defRPr>
                </a:pPr>
                <a:r>
                  <a:rPr b="0" sz="1300" spc="-1" strike="noStrike">
                    <a:solidFill>
                      <a:srgbClr val="000000"/>
                    </a:solidFill>
                    <a:latin typeface="Arial"/>
                    <a:ea typeface="Arial"/>
                  </a:rPr>
                  <a:t>None</a:t>
                </a:r>
              </a:p>
            </c:rich>
          </c:tx>
          <c:overlay val="0"/>
          <c:spPr>
            <a:noFill/>
            <a:ln w="0">
              <a:noFill/>
            </a:ln>
          </c:spPr>
        </c:title>
        <c:numFmt formatCode="General" sourceLinked="0"/>
        <c:majorTickMark val="none"/>
        <c:minorTickMark val="none"/>
        <c:tickLblPos val="nextTo"/>
        <c:spPr>
          <a:ln w="6480">
            <a:noFill/>
          </a:ln>
        </c:spPr>
        <c:txPr>
          <a:bodyPr/>
          <a:lstStyle/>
          <a:p>
            <a:pPr>
              <a:defRPr b="0" sz="1200" spc="-1" strike="noStrike">
                <a:solidFill>
                  <a:srgbClr val="000000"/>
                </a:solidFill>
                <a:latin typeface="Roboto"/>
                <a:ea typeface="Arial"/>
              </a:defRPr>
            </a:pPr>
          </a:p>
        </c:txPr>
        <c:crossAx val="9563180"/>
        <c:crosses val="autoZero"/>
        <c:auto val="1"/>
        <c:lblAlgn val="ctr"/>
        <c:lblOffset val="100"/>
        <c:noMultiLvlLbl val="0"/>
      </c:catAx>
      <c:valAx>
        <c:axId val="9563180"/>
        <c:scaling>
          <c:orientation val="minMax"/>
        </c:scaling>
        <c:delete val="0"/>
        <c:axPos val="l"/>
        <c:majorGridlines>
          <c:spPr>
            <a:ln w="6480">
              <a:solidFill>
                <a:srgbClr val="b7b7b7"/>
              </a:solidFill>
              <a:round/>
            </a:ln>
          </c:spPr>
        </c:majorGridlines>
        <c:minorGridlines>
          <c:spPr>
            <a:ln w="6480">
              <a:solidFill>
                <a:srgbClr val="cccccc"/>
              </a:solidFill>
              <a:round/>
            </a:ln>
          </c:spPr>
        </c:minorGridlines>
        <c:title>
          <c:tx>
            <c:rich>
              <a:bodyPr rot="0"/>
              <a:lstStyle/>
              <a:p>
                <a:pPr>
                  <a:defRPr b="0" sz="1300" spc="-1" strike="noStrike">
                    <a:solidFill>
                      <a:srgbClr val="000000"/>
                    </a:solidFill>
                    <a:latin typeface="Arial"/>
                    <a:ea typeface="Arial"/>
                  </a:defRPr>
                </a:pPr>
                <a:r>
                  <a:rPr b="0" sz="1300" spc="-1" strike="noStrike">
                    <a:solidFill>
                      <a:srgbClr val="000000"/>
                    </a:solidFill>
                    <a:latin typeface="Arial"/>
                    <a:ea typeface="Arial"/>
                  </a:rPr>
                  <a:t>None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Roboto"/>
                <a:ea typeface="Arial"/>
              </a:defRPr>
            </a:pPr>
          </a:p>
        </c:txPr>
        <c:crossAx val="15292893"/>
        <c:crosses val="max"/>
        <c:crossBetween val="between"/>
      </c:valAx>
      <c:spPr>
        <a:noFill/>
        <a:ln w="0">
          <a:noFill/>
        </a:ln>
      </c:spPr>
    </c:plotArea>
    <c:legend>
      <c:legendPos val="r"/>
      <c:overlay val="0"/>
      <c:spPr>
        <a:noFill/>
        <a:ln w="0">
          <a:noFill/>
        </a:ln>
      </c:spPr>
      <c:txPr>
        <a:bodyPr/>
        <a:lstStyle/>
        <a:p>
          <a:pPr>
            <a:defRPr b="0" sz="900" spc="-1" strike="noStrike">
              <a:solidFill>
                <a:srgbClr val="222222"/>
              </a:solidFill>
              <a:latin typeface="Roboto"/>
              <a:ea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4.png"/>
</Relationships>
</file>

<file path=xl/drawings/_rels/drawing2.xml.rels><?xml version="1.0" encoding="UTF-8"?>
<Relationships xmlns="http://schemas.openxmlformats.org/package/2006/relationships"><Relationship Id="rId1"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png"/>
</Relationships>
</file>

<file path=xl/drawings/_rels/drawing4.xml.rels><?xml version="1.0" encoding="UTF-8"?>
<Relationships xmlns="http://schemas.openxmlformats.org/package/2006/relationships"><Relationship Id="rId1" Type="http://schemas.openxmlformats.org/officeDocument/2006/relationships/image" Target="../media/image7.png"/>
</Relationships>
</file>

<file path=xl/drawings/_rels/drawing6.xml.rels><?xml version="1.0" encoding="UTF-8"?>
<Relationships xmlns="http://schemas.openxmlformats.org/package/2006/relationships"><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304920</xdr:colOff>
      <xdr:row>9</xdr:row>
      <xdr:rowOff>266760</xdr:rowOff>
    </xdr:from>
    <xdr:to>
      <xdr:col>11</xdr:col>
      <xdr:colOff>855720</xdr:colOff>
      <xdr:row>15</xdr:row>
      <xdr:rowOff>266400</xdr:rowOff>
    </xdr:to>
    <xdr:graphicFrame>
      <xdr:nvGraphicFramePr>
        <xdr:cNvPr id="0" name="Chart 1"/>
        <xdr:cNvGraphicFramePr/>
      </xdr:nvGraphicFramePr>
      <xdr:xfrm>
        <a:off x="1380600" y="3200400"/>
        <a:ext cx="9600840" cy="1714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304920</xdr:colOff>
      <xdr:row>18</xdr:row>
      <xdr:rowOff>0</xdr:rowOff>
    </xdr:from>
    <xdr:to>
      <xdr:col>11</xdr:col>
      <xdr:colOff>855720</xdr:colOff>
      <xdr:row>24</xdr:row>
      <xdr:rowOff>9360</xdr:rowOff>
    </xdr:to>
    <xdr:graphicFrame>
      <xdr:nvGraphicFramePr>
        <xdr:cNvPr id="1" name="Chart 2"/>
        <xdr:cNvGraphicFramePr/>
      </xdr:nvGraphicFramePr>
      <xdr:xfrm>
        <a:off x="1380600" y="5505480"/>
        <a:ext cx="9600840" cy="1723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219240</xdr:colOff>
      <xdr:row>0</xdr:row>
      <xdr:rowOff>123840</xdr:rowOff>
    </xdr:from>
    <xdr:to>
      <xdr:col>1</xdr:col>
      <xdr:colOff>571320</xdr:colOff>
      <xdr:row>0</xdr:row>
      <xdr:rowOff>475920</xdr:rowOff>
    </xdr:to>
    <xdr:pic>
      <xdr:nvPicPr>
        <xdr:cNvPr id="2" name="image3.png" descr=""/>
        <xdr:cNvPicPr/>
      </xdr:nvPicPr>
      <xdr:blipFill>
        <a:blip r:embed="rId3"/>
        <a:stretch/>
      </xdr:blipFill>
      <xdr:spPr>
        <a:xfrm>
          <a:off x="492840" y="123840"/>
          <a:ext cx="352080" cy="352080"/>
        </a:xfrm>
        <a:prstGeom prst="rect">
          <a:avLst/>
        </a:prstGeom>
        <a:ln w="0">
          <a:noFill/>
        </a:ln>
      </xdr:spPr>
    </xdr:pic>
    <xdr:clientData/>
  </xdr:twoCellAnchor>
  <xdr:twoCellAnchor editAs="oneCell">
    <xdr:from>
      <xdr:col>5</xdr:col>
      <xdr:colOff>200160</xdr:colOff>
      <xdr:row>4</xdr:row>
      <xdr:rowOff>181080</xdr:rowOff>
    </xdr:from>
    <xdr:to>
      <xdr:col>5</xdr:col>
      <xdr:colOff>542880</xdr:colOff>
      <xdr:row>5</xdr:row>
      <xdr:rowOff>237960</xdr:rowOff>
    </xdr:to>
    <xdr:pic>
      <xdr:nvPicPr>
        <xdr:cNvPr id="3" name="image2.png" descr=""/>
        <xdr:cNvPicPr/>
      </xdr:nvPicPr>
      <xdr:blipFill>
        <a:blip r:embed="rId4"/>
        <a:stretch/>
      </xdr:blipFill>
      <xdr:spPr>
        <a:xfrm>
          <a:off x="5135400" y="1685880"/>
          <a:ext cx="342720" cy="342720"/>
        </a:xfrm>
        <a:prstGeom prst="rect">
          <a:avLst/>
        </a:prstGeom>
        <a:ln w="0">
          <a:noFill/>
        </a:ln>
      </xdr:spPr>
    </xdr:pic>
    <xdr:clientData/>
  </xdr:twoCellAnchor>
  <xdr:twoCellAnchor editAs="oneCell">
    <xdr:from>
      <xdr:col>11</xdr:col>
      <xdr:colOff>304920</xdr:colOff>
      <xdr:row>4</xdr:row>
      <xdr:rowOff>162000</xdr:rowOff>
    </xdr:from>
    <xdr:to>
      <xdr:col>11</xdr:col>
      <xdr:colOff>695160</xdr:colOff>
      <xdr:row>5</xdr:row>
      <xdr:rowOff>266400</xdr:rowOff>
    </xdr:to>
    <xdr:pic>
      <xdr:nvPicPr>
        <xdr:cNvPr id="4" name="image6.png" descr=""/>
        <xdr:cNvPicPr/>
      </xdr:nvPicPr>
      <xdr:blipFill>
        <a:blip r:embed="rId5"/>
        <a:stretch/>
      </xdr:blipFill>
      <xdr:spPr>
        <a:xfrm>
          <a:off x="10430640" y="1666800"/>
          <a:ext cx="390240" cy="390240"/>
        </a:xfrm>
        <a:prstGeom prst="rect">
          <a:avLst/>
        </a:prstGeom>
        <a:ln w="0">
          <a:noFill/>
        </a:ln>
      </xdr:spPr>
    </xdr:pic>
    <xdr:clientData/>
  </xdr:twoCellAnchor>
  <xdr:twoCellAnchor editAs="oneCell">
    <xdr:from>
      <xdr:col>8</xdr:col>
      <xdr:colOff>181080</xdr:colOff>
      <xdr:row>4</xdr:row>
      <xdr:rowOff>142920</xdr:rowOff>
    </xdr:from>
    <xdr:to>
      <xdr:col>8</xdr:col>
      <xdr:colOff>561600</xdr:colOff>
      <xdr:row>5</xdr:row>
      <xdr:rowOff>237600</xdr:rowOff>
    </xdr:to>
    <xdr:pic>
      <xdr:nvPicPr>
        <xdr:cNvPr id="5" name="image4.png" descr=""/>
        <xdr:cNvPicPr/>
      </xdr:nvPicPr>
      <xdr:blipFill>
        <a:blip r:embed="rId6"/>
        <a:stretch/>
      </xdr:blipFill>
      <xdr:spPr>
        <a:xfrm>
          <a:off x="7654320" y="1647720"/>
          <a:ext cx="380520" cy="380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0</xdr:row>
      <xdr:rowOff>162000</xdr:rowOff>
    </xdr:from>
    <xdr:to>
      <xdr:col>1</xdr:col>
      <xdr:colOff>542520</xdr:colOff>
      <xdr:row>0</xdr:row>
      <xdr:rowOff>475920</xdr:rowOff>
    </xdr:to>
    <xdr:pic>
      <xdr:nvPicPr>
        <xdr:cNvPr id="6" name="image1.png" descr=""/>
        <xdr:cNvPicPr/>
      </xdr:nvPicPr>
      <xdr:blipFill>
        <a:blip r:embed="rId1"/>
        <a:stretch/>
      </xdr:blipFill>
      <xdr:spPr>
        <a:xfrm>
          <a:off x="502200" y="162000"/>
          <a:ext cx="313920" cy="3139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247680</xdr:colOff>
      <xdr:row>0</xdr:row>
      <xdr:rowOff>142920</xdr:rowOff>
    </xdr:from>
    <xdr:to>
      <xdr:col>1</xdr:col>
      <xdr:colOff>552240</xdr:colOff>
      <xdr:row>0</xdr:row>
      <xdr:rowOff>447480</xdr:rowOff>
    </xdr:to>
    <xdr:pic>
      <xdr:nvPicPr>
        <xdr:cNvPr id="7" name="image5.png" descr=""/>
        <xdr:cNvPicPr/>
      </xdr:nvPicPr>
      <xdr:blipFill>
        <a:blip r:embed="rId1"/>
        <a:stretch/>
      </xdr:blipFill>
      <xdr:spPr>
        <a:xfrm>
          <a:off x="521280" y="142920"/>
          <a:ext cx="304560" cy="3045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0</xdr:row>
      <xdr:rowOff>114480</xdr:rowOff>
    </xdr:from>
    <xdr:to>
      <xdr:col>1</xdr:col>
      <xdr:colOff>609120</xdr:colOff>
      <xdr:row>0</xdr:row>
      <xdr:rowOff>495000</xdr:rowOff>
    </xdr:to>
    <xdr:pic>
      <xdr:nvPicPr>
        <xdr:cNvPr id="8" name="image8.png" descr=""/>
        <xdr:cNvPicPr/>
      </xdr:nvPicPr>
      <xdr:blipFill>
        <a:blip r:embed="rId1"/>
        <a:stretch/>
      </xdr:blipFill>
      <xdr:spPr>
        <a:xfrm>
          <a:off x="502200" y="114480"/>
          <a:ext cx="380520" cy="3805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0</xdr:row>
      <xdr:rowOff>142920</xdr:rowOff>
    </xdr:from>
    <xdr:to>
      <xdr:col>1</xdr:col>
      <xdr:colOff>533160</xdr:colOff>
      <xdr:row>0</xdr:row>
      <xdr:rowOff>447480</xdr:rowOff>
    </xdr:to>
    <xdr:pic>
      <xdr:nvPicPr>
        <xdr:cNvPr id="9" name="image7.png" descr=""/>
        <xdr:cNvPicPr/>
      </xdr:nvPicPr>
      <xdr:blipFill>
        <a:blip r:embed="rId1"/>
        <a:stretch/>
      </xdr:blipFill>
      <xdr:spPr>
        <a:xfrm>
          <a:off x="502200" y="142920"/>
          <a:ext cx="304560" cy="30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www.ozerflex.com/" TargetMode="External"/><Relationship Id="rId3" Type="http://schemas.openxmlformats.org/officeDocument/2006/relationships/hyperlink" Target="http://www.fixfase.com/" TargetMode="External"/><Relationship Id="rId4" Type="http://schemas.openxmlformats.org/officeDocument/2006/relationships/hyperlink" Target="http://www.namdrill.com/" TargetMode="External"/><Relationship Id="rId5" Type="http://schemas.openxmlformats.org/officeDocument/2006/relationships/hyperlink" Target="http://www.saltace.com/" TargetMode="External"/><Relationship Id="rId6" Type="http://schemas.openxmlformats.org/officeDocument/2006/relationships/hyperlink" Target="http://www.moveplanet.com/" TargetMode="External"/><Relationship Id="rId7" Type="http://schemas.openxmlformats.org/officeDocument/2006/relationships/hyperlink" Target="http://www.finware.com/" TargetMode="External"/><Relationship Id="rId8" Type="http://schemas.openxmlformats.org/officeDocument/2006/relationships/hyperlink" Target="http://www.dripelectronics.com/" TargetMode="External"/><Relationship Id="rId9" Type="http://schemas.openxmlformats.org/officeDocument/2006/relationships/drawing" Target="../drawings/drawing2.xml"/><Relationship Id="rId10"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www.ozerflex.com/" TargetMode="External"/><Relationship Id="rId2" Type="http://schemas.openxmlformats.org/officeDocument/2006/relationships/hyperlink" Target="http://www.fixfase.com/" TargetMode="External"/><Relationship Id="rId3" Type="http://schemas.openxmlformats.org/officeDocument/2006/relationships/hyperlink" Target="http://www.namdrill.com/" TargetMode="External"/><Relationship Id="rId4" Type="http://schemas.openxmlformats.org/officeDocument/2006/relationships/hyperlink" Target="http://www.saltace.com/" TargetMode="External"/><Relationship Id="rId5" Type="http://schemas.openxmlformats.org/officeDocument/2006/relationships/hyperlink" Target="http://www.moveplanet.com/" TargetMode="External"/><Relationship Id="rId6" Type="http://schemas.openxmlformats.org/officeDocument/2006/relationships/hyperlink" Target="http://www.finware.com/" TargetMode="External"/><Relationship Id="rId7" Type="http://schemas.openxmlformats.org/officeDocument/2006/relationships/hyperlink" Target="http://www.driplectronics.com/" TargetMode="External"/><Relationship Id="rId8"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 min="2" style="0" width="5.13"/>
    <col collapsed="false" customWidth="true" hidden="false" outlineLevel="0" max="3" min="3" style="0" width="37.63"/>
    <col collapsed="false" customWidth="true" hidden="false" outlineLevel="0" max="4" min="4" style="0" width="2"/>
    <col collapsed="false" customWidth="true" hidden="false" outlineLevel="0" max="5" min="5" style="0" width="5.13"/>
    <col collapsed="false" customWidth="true" hidden="false" outlineLevel="0" max="6" min="6" style="0" width="37.63"/>
    <col collapsed="false" customWidth="true" hidden="false" outlineLevel="0" max="7" min="7" style="0" width="2"/>
    <col collapsed="false" customWidth="true" hidden="false" outlineLevel="0" max="8" min="8" style="0" width="5.13"/>
    <col collapsed="false" customWidth="true" hidden="false" outlineLevel="0" max="9" min="9" style="0" width="37.63"/>
  </cols>
  <sheetData>
    <row r="1" customFormat="false" ht="15.75" hidden="false" customHeight="true" outlineLevel="0" collapsed="false">
      <c r="A1" s="1"/>
      <c r="B1" s="2"/>
      <c r="C1" s="2"/>
      <c r="D1" s="2"/>
      <c r="E1" s="2"/>
      <c r="F1" s="2"/>
      <c r="G1" s="2"/>
      <c r="H1" s="2"/>
      <c r="I1" s="2"/>
      <c r="J1" s="1"/>
    </row>
    <row r="2" customFormat="false" ht="15.75" hidden="false" customHeight="true" outlineLevel="0" collapsed="false">
      <c r="A2" s="1"/>
      <c r="B2" s="2"/>
      <c r="C2" s="2"/>
      <c r="D2" s="2"/>
      <c r="E2" s="2"/>
      <c r="F2" s="2"/>
      <c r="G2" s="2"/>
      <c r="H2" s="2"/>
      <c r="I2" s="2"/>
      <c r="J2" s="1"/>
    </row>
    <row r="3" customFormat="false" ht="15.75" hidden="false" customHeight="true" outlineLevel="0" collapsed="false">
      <c r="A3" s="1"/>
      <c r="B3" s="3"/>
      <c r="C3" s="3"/>
      <c r="D3" s="3"/>
      <c r="E3" s="3"/>
      <c r="F3" s="3"/>
      <c r="G3" s="3"/>
      <c r="H3" s="3"/>
      <c r="I3" s="3"/>
      <c r="J3" s="1"/>
    </row>
    <row r="4" customFormat="false" ht="15.75" hidden="false" customHeight="true" outlineLevel="0" collapsed="false">
      <c r="A4" s="1"/>
      <c r="B4" s="4" t="s">
        <v>0</v>
      </c>
      <c r="C4" s="4"/>
      <c r="D4" s="4"/>
      <c r="E4" s="4"/>
      <c r="F4" s="4"/>
      <c r="G4" s="4"/>
      <c r="H4" s="4"/>
      <c r="I4" s="4"/>
      <c r="J4" s="1"/>
    </row>
    <row r="5" customFormat="false" ht="140.25" hidden="false" customHeight="true" outlineLevel="0" collapsed="false">
      <c r="A5" s="1"/>
      <c r="B5" s="5" t="s">
        <v>1</v>
      </c>
      <c r="C5" s="5"/>
      <c r="D5" s="5"/>
      <c r="E5" s="5"/>
      <c r="F5" s="5"/>
      <c r="G5" s="5"/>
      <c r="H5" s="5"/>
      <c r="I5" s="5"/>
      <c r="J5" s="1"/>
    </row>
    <row r="6" customFormat="false" ht="15.75" hidden="false" customHeight="true" outlineLevel="0" collapsed="false">
      <c r="A6" s="1"/>
      <c r="B6" s="6"/>
      <c r="C6" s="6"/>
      <c r="D6" s="6"/>
      <c r="E6" s="6"/>
      <c r="F6" s="6"/>
      <c r="G6" s="6"/>
      <c r="H6" s="6"/>
      <c r="I6" s="6"/>
      <c r="J6" s="1"/>
    </row>
    <row r="7" customFormat="false" ht="15.75" hidden="false" customHeight="true" outlineLevel="0" collapsed="false">
      <c r="A7" s="1"/>
      <c r="B7" s="7" t="s">
        <v>2</v>
      </c>
      <c r="C7" s="7"/>
      <c r="D7" s="7"/>
      <c r="E7" s="7"/>
      <c r="F7" s="7"/>
      <c r="G7" s="7"/>
      <c r="H7" s="7"/>
      <c r="I7" s="7"/>
      <c r="J7" s="1"/>
    </row>
    <row r="8" customFormat="false" ht="15.75" hidden="false" customHeight="true" outlineLevel="0" collapsed="false">
      <c r="A8" s="1"/>
      <c r="B8" s="7"/>
      <c r="C8" s="7"/>
      <c r="D8" s="7"/>
      <c r="E8" s="7"/>
      <c r="F8" s="7"/>
      <c r="G8" s="7"/>
      <c r="H8" s="7"/>
      <c r="I8" s="7"/>
      <c r="J8" s="1"/>
    </row>
    <row r="9" customFormat="false" ht="15.75" hidden="false" customHeight="true" outlineLevel="0" collapsed="false">
      <c r="A9" s="1"/>
      <c r="B9" s="7"/>
      <c r="C9" s="7"/>
      <c r="D9" s="7"/>
      <c r="E9" s="7"/>
      <c r="F9" s="7"/>
      <c r="G9" s="7"/>
      <c r="H9" s="7"/>
      <c r="I9" s="7"/>
      <c r="J9" s="1"/>
    </row>
    <row r="10" customFormat="false" ht="15.75" hidden="false" customHeight="true" outlineLevel="0" collapsed="false">
      <c r="A10" s="1"/>
      <c r="B10" s="7"/>
      <c r="C10" s="7"/>
      <c r="D10" s="7"/>
      <c r="E10" s="7"/>
      <c r="F10" s="7"/>
      <c r="G10" s="7"/>
      <c r="H10" s="7"/>
      <c r="I10" s="7"/>
      <c r="J10" s="1"/>
    </row>
    <row r="11" customFormat="false" ht="15.75" hidden="false" customHeight="true" outlineLevel="0" collapsed="false">
      <c r="A11" s="1"/>
      <c r="B11" s="7"/>
      <c r="C11" s="7"/>
      <c r="D11" s="7"/>
      <c r="E11" s="7"/>
      <c r="F11" s="7"/>
      <c r="G11" s="7"/>
      <c r="H11" s="7"/>
      <c r="I11" s="7"/>
      <c r="J11" s="1"/>
    </row>
    <row r="12" customFormat="false" ht="15.75" hidden="false" customHeight="true" outlineLevel="0" collapsed="false">
      <c r="A12" s="8"/>
      <c r="B12" s="7"/>
      <c r="C12" s="7"/>
      <c r="D12" s="7"/>
      <c r="E12" s="7"/>
      <c r="F12" s="7"/>
      <c r="G12" s="7"/>
      <c r="H12" s="7"/>
      <c r="I12" s="7"/>
      <c r="J12" s="8"/>
    </row>
    <row r="13" customFormat="false" ht="15.75" hidden="false" customHeight="true" outlineLevel="0" collapsed="false">
      <c r="A13" s="9"/>
      <c r="B13" s="10"/>
      <c r="C13" s="10"/>
      <c r="D13" s="10"/>
      <c r="E13" s="10"/>
      <c r="F13" s="10"/>
      <c r="G13" s="10"/>
      <c r="H13" s="10"/>
      <c r="I13" s="10"/>
      <c r="J13" s="9"/>
    </row>
    <row r="14" customFormat="false" ht="15.75" hidden="false" customHeight="true" outlineLevel="0" collapsed="false">
      <c r="A14" s="11"/>
      <c r="B14" s="12"/>
      <c r="C14" s="12"/>
      <c r="D14" s="12"/>
      <c r="E14" s="12"/>
      <c r="F14" s="12"/>
      <c r="G14" s="12"/>
      <c r="H14" s="12"/>
      <c r="I14" s="12"/>
      <c r="J14" s="11"/>
    </row>
    <row r="15" customFormat="false" ht="15.75" hidden="false" customHeight="true" outlineLevel="0" collapsed="false">
      <c r="A15" s="11"/>
      <c r="B15" s="12"/>
      <c r="C15" s="12"/>
      <c r="D15" s="12"/>
      <c r="E15" s="12"/>
      <c r="F15" s="12"/>
      <c r="G15" s="12"/>
      <c r="H15" s="12"/>
      <c r="I15" s="12"/>
      <c r="J15" s="11"/>
    </row>
    <row r="16" customFormat="false" ht="15.75" hidden="false" customHeight="true" outlineLevel="0" collapsed="false">
      <c r="A16" s="13"/>
      <c r="B16" s="14" t="s">
        <v>3</v>
      </c>
      <c r="C16" s="15"/>
      <c r="D16" s="15"/>
      <c r="E16" s="15"/>
      <c r="F16" s="15"/>
      <c r="G16" s="15"/>
      <c r="H16" s="15"/>
      <c r="I16" s="15"/>
      <c r="J16" s="13"/>
    </row>
    <row r="17" customFormat="false" ht="15.75" hidden="false" customHeight="true" outlineLevel="0" collapsed="false">
      <c r="A17" s="11"/>
      <c r="B17" s="16"/>
      <c r="C17" s="16"/>
      <c r="D17" s="16"/>
      <c r="E17" s="16"/>
      <c r="F17" s="16"/>
      <c r="G17" s="16"/>
      <c r="H17" s="16"/>
      <c r="I17" s="16"/>
      <c r="J17" s="11"/>
    </row>
    <row r="18" customFormat="false" ht="15.75" hidden="false" customHeight="true" outlineLevel="0" collapsed="false">
      <c r="A18" s="11"/>
      <c r="B18" s="16"/>
      <c r="C18" s="16"/>
      <c r="D18" s="16"/>
      <c r="E18" s="16"/>
      <c r="F18" s="16"/>
      <c r="G18" s="16"/>
      <c r="H18" s="16"/>
      <c r="I18" s="16"/>
      <c r="J18" s="11"/>
    </row>
    <row r="19" customFormat="false" ht="147" hidden="false" customHeight="true" outlineLevel="0" collapsed="false">
      <c r="A19" s="11"/>
      <c r="B19" s="17" t="n">
        <v>1</v>
      </c>
      <c r="C19" s="18" t="s">
        <v>4</v>
      </c>
      <c r="D19" s="19"/>
      <c r="E19" s="17" t="n">
        <v>2</v>
      </c>
      <c r="F19" s="18" t="s">
        <v>5</v>
      </c>
      <c r="G19" s="19"/>
      <c r="H19" s="17" t="n">
        <v>3</v>
      </c>
      <c r="I19" s="20" t="s">
        <v>6</v>
      </c>
      <c r="J19" s="21"/>
    </row>
    <row r="20" customFormat="false" ht="15.75" hidden="false" customHeight="true" outlineLevel="0" collapsed="false">
      <c r="A20" s="22"/>
      <c r="B20" s="22"/>
      <c r="C20" s="22"/>
      <c r="D20" s="22"/>
      <c r="E20" s="22"/>
      <c r="F20" s="22"/>
      <c r="G20" s="22"/>
      <c r="H20" s="22"/>
      <c r="I20" s="22"/>
      <c r="J20" s="22"/>
    </row>
    <row r="21" customFormat="false" ht="15.75" hidden="false" customHeight="true" outlineLevel="0" collapsed="false">
      <c r="A21" s="22"/>
      <c r="B21" s="22"/>
      <c r="C21" s="22"/>
      <c r="D21" s="22"/>
      <c r="E21" s="22"/>
      <c r="F21" s="22"/>
      <c r="G21" s="22"/>
      <c r="H21" s="22"/>
      <c r="I21" s="22"/>
      <c r="J21" s="22"/>
    </row>
    <row r="22" customFormat="false" ht="15.75" hidden="false" customHeight="true" outlineLevel="0" collapsed="false">
      <c r="A22" s="22"/>
      <c r="B22" s="23"/>
      <c r="C22" s="22"/>
      <c r="D22" s="22"/>
      <c r="E22" s="22"/>
      <c r="F22" s="22"/>
      <c r="G22" s="22"/>
      <c r="H22" s="22"/>
      <c r="I22" s="22"/>
      <c r="J22" s="22"/>
    </row>
    <row r="23" customFormat="false" ht="15.75" hidden="false" customHeight="true" outlineLevel="0" collapsed="false">
      <c r="A23" s="22"/>
      <c r="B23" s="24" t="s">
        <v>7</v>
      </c>
      <c r="C23" s="24"/>
      <c r="D23" s="24"/>
      <c r="E23" s="24"/>
      <c r="F23" s="24"/>
      <c r="G23" s="24"/>
      <c r="H23" s="24"/>
      <c r="I23" s="24"/>
      <c r="J23" s="22"/>
    </row>
    <row r="24" customFormat="false" ht="15.75" hidden="false" customHeight="true" outlineLevel="0" collapsed="false">
      <c r="A24" s="22"/>
      <c r="B24" s="25"/>
      <c r="C24" s="25"/>
      <c r="D24" s="25"/>
      <c r="E24" s="25"/>
      <c r="F24" s="25"/>
      <c r="G24" s="25"/>
      <c r="H24" s="25"/>
      <c r="I24" s="25"/>
      <c r="J24" s="22"/>
    </row>
    <row r="25" customFormat="false" ht="15.75" hidden="false" customHeight="true" outlineLevel="0" collapsed="false">
      <c r="A25" s="22"/>
      <c r="B25" s="25"/>
      <c r="C25" s="25"/>
      <c r="D25" s="25"/>
      <c r="E25" s="25"/>
      <c r="F25" s="25"/>
      <c r="G25" s="25"/>
      <c r="H25" s="25"/>
      <c r="I25" s="25"/>
      <c r="J25" s="22"/>
    </row>
    <row r="26" customFormat="false" ht="15.75" hidden="false" customHeight="true" outlineLevel="0" collapsed="false">
      <c r="A26" s="22"/>
      <c r="B26" s="25" t="s">
        <v>8</v>
      </c>
      <c r="C26" s="25"/>
      <c r="D26" s="25"/>
      <c r="E26" s="25"/>
      <c r="F26" s="25"/>
      <c r="G26" s="25"/>
      <c r="H26" s="25"/>
      <c r="I26" s="25"/>
      <c r="J26" s="22"/>
    </row>
    <row r="27" customFormat="false" ht="114.75" hidden="false" customHeight="true" outlineLevel="0" collapsed="false">
      <c r="A27" s="22"/>
      <c r="B27" s="26" t="s">
        <v>9</v>
      </c>
      <c r="C27" s="26"/>
      <c r="D27" s="26"/>
      <c r="E27" s="26"/>
      <c r="F27" s="26"/>
      <c r="G27" s="26"/>
      <c r="H27" s="26"/>
      <c r="I27" s="26"/>
      <c r="J27" s="22"/>
    </row>
    <row r="28" customFormat="false" ht="15.75" hidden="false" customHeight="true" outlineLevel="0" collapsed="false">
      <c r="A28" s="22"/>
      <c r="B28" s="24"/>
      <c r="C28" s="24"/>
      <c r="D28" s="24"/>
      <c r="E28" s="24"/>
      <c r="F28" s="24"/>
      <c r="G28" s="24"/>
      <c r="H28" s="24"/>
      <c r="I28" s="24"/>
      <c r="J28" s="22"/>
    </row>
    <row r="29" customFormat="false" ht="15.75" hidden="false" customHeight="true" outlineLevel="0" collapsed="false">
      <c r="A29" s="22"/>
      <c r="B29" s="25" t="s">
        <v>10</v>
      </c>
      <c r="C29" s="25"/>
      <c r="D29" s="25"/>
      <c r="E29" s="25"/>
      <c r="F29" s="25"/>
      <c r="G29" s="25"/>
      <c r="H29" s="25"/>
      <c r="I29" s="25"/>
      <c r="J29" s="22"/>
    </row>
    <row r="30" customFormat="false" ht="15.75" hidden="false" customHeight="true" outlineLevel="0" collapsed="false">
      <c r="A30" s="22"/>
      <c r="B30" s="27" t="s">
        <v>11</v>
      </c>
      <c r="C30" s="27"/>
      <c r="D30" s="27"/>
      <c r="E30" s="27"/>
      <c r="F30" s="27"/>
      <c r="G30" s="27"/>
      <c r="H30" s="27"/>
      <c r="I30" s="27"/>
      <c r="J30" s="22"/>
    </row>
    <row r="31" customFormat="false" ht="15.75" hidden="false" customHeight="true" outlineLevel="0" collapsed="false">
      <c r="A31" s="22"/>
      <c r="B31" s="27"/>
      <c r="C31" s="27"/>
      <c r="D31" s="27"/>
      <c r="E31" s="27"/>
      <c r="F31" s="27"/>
      <c r="G31" s="27"/>
      <c r="H31" s="27"/>
      <c r="I31" s="27"/>
      <c r="J31" s="22"/>
    </row>
    <row r="32" customFormat="false" ht="15.75" hidden="false" customHeight="true" outlineLevel="0" collapsed="false">
      <c r="A32" s="22"/>
      <c r="B32" s="24"/>
      <c r="C32" s="24"/>
      <c r="D32" s="24"/>
      <c r="E32" s="24"/>
      <c r="F32" s="24"/>
      <c r="G32" s="24"/>
      <c r="H32" s="24"/>
      <c r="I32" s="24"/>
      <c r="J32" s="22"/>
    </row>
    <row r="33" customFormat="false" ht="15.75" hidden="false" customHeight="true" outlineLevel="0" collapsed="false">
      <c r="A33" s="22"/>
      <c r="B33" s="25" t="s">
        <v>12</v>
      </c>
      <c r="C33" s="25"/>
      <c r="D33" s="25"/>
      <c r="E33" s="25"/>
      <c r="F33" s="25"/>
      <c r="G33" s="25"/>
      <c r="H33" s="25"/>
      <c r="I33" s="25"/>
      <c r="J33" s="22"/>
    </row>
    <row r="34" customFormat="false" ht="15.75" hidden="false" customHeight="true" outlineLevel="0" collapsed="false">
      <c r="A34" s="22"/>
      <c r="B34" s="27" t="s">
        <v>13</v>
      </c>
      <c r="C34" s="27"/>
      <c r="D34" s="27"/>
      <c r="E34" s="27"/>
      <c r="F34" s="27"/>
      <c r="G34" s="27"/>
      <c r="H34" s="27"/>
      <c r="I34" s="27"/>
      <c r="J34" s="22"/>
    </row>
    <row r="35" customFormat="false" ht="15.75" hidden="false" customHeight="true" outlineLevel="0" collapsed="false">
      <c r="A35" s="22"/>
      <c r="B35" s="27"/>
      <c r="C35" s="27"/>
      <c r="D35" s="27"/>
      <c r="E35" s="27"/>
      <c r="F35" s="27"/>
      <c r="G35" s="27"/>
      <c r="H35" s="27"/>
      <c r="I35" s="27"/>
      <c r="J35" s="22"/>
    </row>
    <row r="36" customFormat="false" ht="15.75" hidden="false" customHeight="true" outlineLevel="0" collapsed="false">
      <c r="A36" s="22"/>
      <c r="B36" s="27"/>
      <c r="C36" s="27"/>
      <c r="D36" s="27"/>
      <c r="E36" s="27"/>
      <c r="F36" s="27"/>
      <c r="G36" s="27"/>
      <c r="H36" s="27"/>
      <c r="I36" s="27"/>
      <c r="J36" s="22"/>
    </row>
    <row r="37" customFormat="false" ht="15.75" hidden="false" customHeight="true" outlineLevel="0" collapsed="false">
      <c r="A37" s="22"/>
      <c r="B37" s="24"/>
      <c r="C37" s="24"/>
      <c r="D37" s="24"/>
      <c r="E37" s="24"/>
      <c r="F37" s="24"/>
      <c r="G37" s="24"/>
      <c r="H37" s="24"/>
      <c r="I37" s="24"/>
      <c r="J37" s="22"/>
    </row>
    <row r="38" customFormat="false" ht="15.75" hidden="false" customHeight="true" outlineLevel="0" collapsed="false">
      <c r="A38" s="22"/>
      <c r="B38" s="25" t="s">
        <v>14</v>
      </c>
      <c r="C38" s="25"/>
      <c r="D38" s="25"/>
      <c r="E38" s="25"/>
      <c r="F38" s="25"/>
      <c r="G38" s="25"/>
      <c r="H38" s="25"/>
      <c r="I38" s="25"/>
      <c r="J38" s="22"/>
    </row>
    <row r="39" customFormat="false" ht="15.75" hidden="false" customHeight="true" outlineLevel="0" collapsed="false">
      <c r="A39" s="22"/>
      <c r="B39" s="27" t="s">
        <v>15</v>
      </c>
      <c r="C39" s="27"/>
      <c r="D39" s="27"/>
      <c r="E39" s="27"/>
      <c r="F39" s="27"/>
      <c r="G39" s="27"/>
      <c r="H39" s="27"/>
      <c r="I39" s="27"/>
      <c r="J39" s="22"/>
    </row>
    <row r="40" customFormat="false" ht="15.75" hidden="false" customHeight="true" outlineLevel="0" collapsed="false">
      <c r="A40" s="22"/>
      <c r="B40" s="27"/>
      <c r="C40" s="27"/>
      <c r="D40" s="27"/>
      <c r="E40" s="27"/>
      <c r="F40" s="27"/>
      <c r="G40" s="27"/>
      <c r="H40" s="27"/>
      <c r="I40" s="27"/>
      <c r="J40" s="22"/>
    </row>
    <row r="41" customFormat="false" ht="15.75" hidden="false" customHeight="true" outlineLevel="0" collapsed="false">
      <c r="A41" s="22"/>
      <c r="B41" s="27"/>
      <c r="C41" s="27"/>
      <c r="D41" s="27"/>
      <c r="E41" s="27"/>
      <c r="F41" s="27"/>
      <c r="G41" s="27"/>
      <c r="H41" s="27"/>
      <c r="I41" s="27"/>
      <c r="J41" s="22"/>
    </row>
    <row r="42" customFormat="false" ht="15.75" hidden="false" customHeight="true" outlineLevel="0" collapsed="false">
      <c r="A42" s="22"/>
      <c r="B42" s="28"/>
      <c r="C42" s="28"/>
      <c r="D42" s="28"/>
      <c r="E42" s="28"/>
      <c r="F42" s="28"/>
      <c r="G42" s="28"/>
      <c r="H42" s="28"/>
      <c r="I42" s="28"/>
      <c r="J42" s="22"/>
    </row>
    <row r="43" customFormat="false" ht="15.75" hidden="false" customHeight="true" outlineLevel="0" collapsed="false">
      <c r="A43" s="22"/>
      <c r="B43" s="25" t="s">
        <v>16</v>
      </c>
      <c r="C43" s="25"/>
      <c r="D43" s="25"/>
      <c r="E43" s="25"/>
      <c r="F43" s="25"/>
      <c r="G43" s="25"/>
      <c r="H43" s="25"/>
      <c r="I43" s="25"/>
      <c r="J43" s="22"/>
    </row>
    <row r="44" customFormat="false" ht="86.25" hidden="false" customHeight="true" outlineLevel="0" collapsed="false">
      <c r="A44" s="22"/>
      <c r="B44" s="26" t="s">
        <v>17</v>
      </c>
      <c r="C44" s="26"/>
      <c r="D44" s="26"/>
      <c r="E44" s="26"/>
      <c r="F44" s="26"/>
      <c r="G44" s="26"/>
      <c r="H44" s="26"/>
      <c r="I44" s="26"/>
      <c r="J44" s="22"/>
    </row>
    <row r="45" customFormat="false" ht="15.75" hidden="false" customHeight="true" outlineLevel="0" collapsed="false">
      <c r="A45" s="22"/>
      <c r="B45" s="24"/>
      <c r="C45" s="24"/>
      <c r="D45" s="24"/>
      <c r="E45" s="24"/>
      <c r="F45" s="24"/>
      <c r="G45" s="24"/>
      <c r="H45" s="24"/>
      <c r="I45" s="24"/>
      <c r="J45" s="22"/>
    </row>
    <row r="46" customFormat="false" ht="15.75" hidden="false" customHeight="true" outlineLevel="0" collapsed="false">
      <c r="A46" s="22"/>
      <c r="B46" s="24"/>
      <c r="C46" s="24"/>
      <c r="D46" s="24"/>
      <c r="E46" s="24"/>
      <c r="F46" s="24"/>
      <c r="G46" s="24"/>
      <c r="H46" s="24"/>
      <c r="I46" s="24"/>
      <c r="J46" s="22"/>
    </row>
    <row r="47" customFormat="false" ht="15.75" hidden="false" customHeight="true" outlineLevel="0" collapsed="false">
      <c r="A47" s="22"/>
      <c r="B47" s="24"/>
      <c r="C47" s="24"/>
      <c r="D47" s="24"/>
      <c r="E47" s="24"/>
      <c r="F47" s="24"/>
      <c r="G47" s="24"/>
      <c r="H47" s="24"/>
      <c r="I47" s="24"/>
      <c r="J47" s="22"/>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B4:I4"/>
    <mergeCell ref="B5:I5"/>
    <mergeCell ref="B7:I12"/>
    <mergeCell ref="B27:I27"/>
    <mergeCell ref="B30:I31"/>
    <mergeCell ref="B34:I36"/>
    <mergeCell ref="B39:I41"/>
    <mergeCell ref="B44:I44"/>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11.38"/>
    <col collapsed="false" customWidth="true" hidden="false" outlineLevel="0" max="3" min="3" style="0" width="25.12"/>
    <col collapsed="false" customWidth="true" hidden="false" outlineLevel="0" max="4" min="4" style="0" width="2.38"/>
    <col collapsed="false" customWidth="true" hidden="false" outlineLevel="0" max="5" min="5" style="0" width="27.25"/>
    <col collapsed="false" customWidth="true" hidden="false" outlineLevel="0" max="6" min="6" style="0" width="10.88"/>
    <col collapsed="false" customWidth="true" hidden="false" outlineLevel="0" max="7" min="7" style="0" width="16.75"/>
    <col collapsed="false" customWidth="true" hidden="false" outlineLevel="0" max="8" min="8" style="0" width="8.38"/>
    <col collapsed="false" customWidth="true" hidden="false" outlineLevel="0" max="9" min="9" style="0" width="10.88"/>
    <col collapsed="false" customWidth="true" hidden="false" outlineLevel="0" max="10" min="10" style="0" width="16.75"/>
    <col collapsed="false" customWidth="true" hidden="false" outlineLevel="0" max="11" min="11" style="0" width="10"/>
    <col collapsed="false" customWidth="true" hidden="false" outlineLevel="0" max="12" min="12" style="0" width="13.63"/>
    <col collapsed="false" customWidth="true" hidden="false" outlineLevel="0" max="13" min="13" style="0" width="16.75"/>
    <col collapsed="false" customWidth="true" hidden="false" outlineLevel="0" max="14" min="14" style="0" width="13.13"/>
    <col collapsed="false" customWidth="true" hidden="false" outlineLevel="0" max="15" min="15" style="0" width="9.13"/>
  </cols>
  <sheetData>
    <row r="1" customFormat="false" ht="51" hidden="false" customHeight="true" outlineLevel="0" collapsed="false">
      <c r="A1" s="29"/>
      <c r="B1" s="29"/>
      <c r="C1" s="30" t="s">
        <v>8</v>
      </c>
      <c r="D1" s="31"/>
      <c r="E1" s="31"/>
      <c r="F1" s="31"/>
      <c r="G1" s="32"/>
      <c r="H1" s="31"/>
      <c r="I1" s="31"/>
      <c r="J1" s="32"/>
      <c r="K1" s="31"/>
      <c r="L1" s="31"/>
      <c r="M1" s="32"/>
      <c r="N1" s="31"/>
      <c r="O1" s="31"/>
    </row>
    <row r="2" customFormat="false" ht="22.5" hidden="false" customHeight="true" outlineLevel="0" collapsed="false">
      <c r="A2" s="33"/>
      <c r="B2" s="33"/>
      <c r="C2" s="34"/>
      <c r="D2" s="35"/>
      <c r="E2" s="35"/>
      <c r="F2" s="35"/>
      <c r="G2" s="36"/>
      <c r="H2" s="35"/>
      <c r="I2" s="37"/>
      <c r="J2" s="38"/>
      <c r="K2" s="37"/>
      <c r="L2" s="39"/>
      <c r="M2" s="40"/>
      <c r="N2" s="39"/>
      <c r="O2" s="39"/>
    </row>
    <row r="3" customFormat="false" ht="22.5" hidden="false" customHeight="true" outlineLevel="0" collapsed="false">
      <c r="A3" s="33"/>
      <c r="B3" s="33"/>
      <c r="C3" s="34"/>
      <c r="D3" s="35"/>
      <c r="E3" s="35"/>
      <c r="F3" s="35"/>
      <c r="G3" s="36"/>
      <c r="H3" s="35"/>
      <c r="I3" s="37"/>
      <c r="J3" s="38"/>
      <c r="K3" s="37"/>
      <c r="L3" s="39"/>
      <c r="M3" s="40"/>
      <c r="N3" s="39"/>
      <c r="O3" s="39"/>
    </row>
    <row r="4" customFormat="false" ht="22.5" hidden="false" customHeight="true" outlineLevel="0" collapsed="false">
      <c r="A4" s="41"/>
      <c r="B4" s="41"/>
      <c r="C4" s="42" t="s">
        <v>18</v>
      </c>
      <c r="D4" s="43"/>
      <c r="E4" s="43"/>
      <c r="F4" s="44" t="s">
        <v>19</v>
      </c>
      <c r="G4" s="45"/>
      <c r="H4" s="46"/>
      <c r="I4" s="44"/>
      <c r="J4" s="45"/>
      <c r="K4" s="46"/>
      <c r="L4" s="44"/>
      <c r="M4" s="45"/>
      <c r="N4" s="46"/>
      <c r="O4" s="46"/>
    </row>
    <row r="5" customFormat="false" ht="22.5" hidden="false" customHeight="true" outlineLevel="0" collapsed="false">
      <c r="A5" s="39"/>
      <c r="B5" s="39"/>
      <c r="C5" s="47" t="n">
        <f aca="false">SUMIFS(Opportunities!F4:F27,Opportunities!I4:I27,"&lt;&gt;Gescheitert",Opportunities!I4:I27,"&lt;&gt;Abgebrochen")</f>
        <v>218580</v>
      </c>
      <c r="D5" s="47"/>
      <c r="E5" s="47"/>
      <c r="F5" s="48"/>
      <c r="G5" s="49" t="n">
        <f aca="false">COUNTA(Kontakte!C5:C28)</f>
        <v>24</v>
      </c>
      <c r="H5" s="50" t="s">
        <v>10</v>
      </c>
      <c r="I5" s="48"/>
      <c r="J5" s="49" t="n">
        <f aca="false">COUNTA(Unternehmen!C4:C25)</f>
        <v>22</v>
      </c>
      <c r="K5" s="50" t="s">
        <v>12</v>
      </c>
      <c r="L5" s="48"/>
      <c r="M5" s="49" t="n">
        <f aca="false">COUNTA(Opportunities!B4:B27)</f>
        <v>24</v>
      </c>
      <c r="N5" s="50" t="s">
        <v>14</v>
      </c>
      <c r="O5" s="51"/>
    </row>
    <row r="6" customFormat="false" ht="22.5" hidden="false" customHeight="true" outlineLevel="0" collapsed="false">
      <c r="A6" s="52"/>
      <c r="B6" s="52"/>
      <c r="C6" s="47"/>
      <c r="D6" s="47"/>
      <c r="E6" s="47"/>
      <c r="F6" s="48"/>
      <c r="G6" s="49"/>
      <c r="H6" s="49"/>
      <c r="I6" s="48"/>
      <c r="J6" s="49"/>
      <c r="K6" s="49"/>
      <c r="L6" s="48"/>
      <c r="M6" s="49"/>
      <c r="N6" s="49"/>
      <c r="O6" s="51"/>
    </row>
    <row r="7" customFormat="false" ht="22.5" hidden="false" customHeight="true" outlineLevel="0" collapsed="false">
      <c r="A7" s="52"/>
      <c r="B7" s="52"/>
      <c r="C7" s="47"/>
      <c r="D7" s="47"/>
      <c r="E7" s="47"/>
      <c r="F7" s="48"/>
      <c r="G7" s="49"/>
      <c r="H7" s="49"/>
      <c r="I7" s="48"/>
      <c r="J7" s="49"/>
      <c r="K7" s="49"/>
      <c r="L7" s="48"/>
      <c r="M7" s="49"/>
      <c r="N7" s="49"/>
      <c r="O7" s="51"/>
    </row>
    <row r="8" customFormat="false" ht="22.5" hidden="false" customHeight="true" outlineLevel="0" collapsed="false">
      <c r="A8" s="53"/>
      <c r="B8" s="53"/>
      <c r="C8" s="54"/>
      <c r="D8" s="54"/>
      <c r="E8" s="54"/>
      <c r="F8" s="39"/>
      <c r="G8" s="55"/>
      <c r="H8" s="54"/>
      <c r="I8" s="54"/>
      <c r="J8" s="55"/>
      <c r="K8" s="54"/>
      <c r="L8" s="54"/>
      <c r="M8" s="55"/>
      <c r="N8" s="39"/>
      <c r="O8" s="39"/>
    </row>
    <row r="9" customFormat="false" ht="22.5" hidden="false" customHeight="true" outlineLevel="0" collapsed="false">
      <c r="A9" s="53"/>
      <c r="B9" s="53"/>
      <c r="C9" s="56" t="s">
        <v>20</v>
      </c>
      <c r="D9" s="54"/>
      <c r="E9" s="57" t="n">
        <f aca="false">SUMIF(Opportunities!I4:I27,"Erfolgreich",Opportunities!F4:F27)</f>
        <v>101964</v>
      </c>
      <c r="F9" s="39"/>
      <c r="G9" s="55"/>
      <c r="H9" s="54"/>
      <c r="I9" s="54"/>
      <c r="J9" s="55"/>
      <c r="K9" s="54"/>
      <c r="L9" s="54"/>
      <c r="M9" s="55"/>
      <c r="N9" s="39"/>
      <c r="O9" s="39"/>
    </row>
    <row r="10" customFormat="false" ht="22.5" hidden="false" customHeight="true" outlineLevel="0" collapsed="false">
      <c r="A10" s="53"/>
      <c r="B10" s="53"/>
      <c r="C10" s="58" t="s">
        <v>21</v>
      </c>
      <c r="D10" s="59"/>
      <c r="E10" s="60" t="n">
        <f aca="false">SUMPRODUCT((Opportunities!I4:I27="Offen")*Opportunities!F4:F27*Opportunities!H4:H27)</f>
        <v>60535.2</v>
      </c>
      <c r="F10" s="61"/>
      <c r="G10" s="62"/>
      <c r="H10" s="59"/>
      <c r="I10" s="59"/>
      <c r="J10" s="61"/>
      <c r="K10" s="61"/>
      <c r="L10" s="61"/>
      <c r="M10" s="63"/>
      <c r="N10" s="61"/>
      <c r="O10" s="39"/>
    </row>
    <row r="11" customFormat="false" ht="22.5" hidden="false" customHeight="true" outlineLevel="0" collapsed="false">
      <c r="A11" s="53"/>
      <c r="B11" s="53"/>
      <c r="C11" s="59"/>
      <c r="D11" s="59"/>
      <c r="E11" s="59"/>
      <c r="F11" s="61"/>
      <c r="G11" s="62"/>
      <c r="H11" s="59"/>
      <c r="I11" s="12"/>
      <c r="J11" s="12"/>
      <c r="K11" s="64"/>
      <c r="L11" s="65" t="s">
        <v>22</v>
      </c>
      <c r="M11" s="66" t="s">
        <v>23</v>
      </c>
      <c r="N11" s="61"/>
      <c r="O11" s="39"/>
    </row>
    <row r="12" customFormat="false" ht="22.5" hidden="false" customHeight="true" outlineLevel="0" collapsed="false">
      <c r="A12" s="53"/>
      <c r="B12" s="53"/>
      <c r="C12" s="67"/>
      <c r="D12" s="68"/>
      <c r="E12" s="68"/>
      <c r="F12" s="61"/>
      <c r="G12" s="62"/>
      <c r="H12" s="59"/>
      <c r="I12" s="12"/>
      <c r="J12" s="12"/>
      <c r="K12" s="61"/>
      <c r="L12" s="69" t="s">
        <v>24</v>
      </c>
      <c r="M12" s="70" t="n">
        <f aca="false">COUNTIF(Opportunities!$E$4:$E$27,L12)</f>
        <v>6</v>
      </c>
      <c r="N12" s="61"/>
      <c r="O12" s="39"/>
    </row>
    <row r="13" customFormat="false" ht="22.5" hidden="false" customHeight="true" outlineLevel="0" collapsed="false">
      <c r="A13" s="53"/>
      <c r="B13" s="53"/>
      <c r="C13" s="71"/>
      <c r="D13" s="72"/>
      <c r="E13" s="72"/>
      <c r="F13" s="61"/>
      <c r="G13" s="62"/>
      <c r="H13" s="59"/>
      <c r="I13" s="12"/>
      <c r="J13" s="12"/>
      <c r="K13" s="61"/>
      <c r="L13" s="69" t="s">
        <v>25</v>
      </c>
      <c r="M13" s="70" t="n">
        <f aca="false">COUNTIF(Opportunities!$E$4:$E$27,L13)</f>
        <v>7</v>
      </c>
      <c r="N13" s="61"/>
      <c r="O13" s="39"/>
    </row>
    <row r="14" customFormat="false" ht="22.5" hidden="false" customHeight="true" outlineLevel="0" collapsed="false">
      <c r="A14" s="53"/>
      <c r="B14" s="73"/>
      <c r="C14" s="71"/>
      <c r="D14" s="72"/>
      <c r="E14" s="72"/>
      <c r="F14" s="61"/>
      <c r="G14" s="62"/>
      <c r="H14" s="59"/>
      <c r="I14" s="12"/>
      <c r="J14" s="12"/>
      <c r="K14" s="61"/>
      <c r="L14" s="69" t="s">
        <v>26</v>
      </c>
      <c r="M14" s="70" t="n">
        <f aca="false">COUNTIF(Opportunities!$E$4:$E$27,L14)</f>
        <v>5</v>
      </c>
      <c r="N14" s="61"/>
      <c r="O14" s="39"/>
    </row>
    <row r="15" customFormat="false" ht="22.5" hidden="false" customHeight="true" outlineLevel="0" collapsed="false">
      <c r="A15" s="74"/>
      <c r="B15" s="74"/>
      <c r="C15" s="67"/>
      <c r="D15" s="68"/>
      <c r="E15" s="68"/>
      <c r="F15" s="75"/>
      <c r="G15" s="62"/>
      <c r="H15" s="59"/>
      <c r="I15" s="12"/>
      <c r="J15" s="12"/>
      <c r="K15" s="61"/>
      <c r="L15" s="69" t="s">
        <v>27</v>
      </c>
      <c r="M15" s="70" t="n">
        <f aca="false">COUNTIF(Opportunities!$E$4:$E$27,L15)</f>
        <v>4</v>
      </c>
      <c r="N15" s="61"/>
      <c r="O15" s="33"/>
    </row>
    <row r="16" customFormat="false" ht="22.5" hidden="false" customHeight="true" outlineLevel="0" collapsed="false">
      <c r="A16" s="74"/>
      <c r="B16" s="74"/>
      <c r="C16" s="71"/>
      <c r="D16" s="72"/>
      <c r="E16" s="72"/>
      <c r="F16" s="75"/>
      <c r="G16" s="62"/>
      <c r="H16" s="59"/>
      <c r="I16" s="12"/>
      <c r="J16" s="12"/>
      <c r="K16" s="61"/>
      <c r="L16" s="69" t="s">
        <v>28</v>
      </c>
      <c r="M16" s="70" t="n">
        <f aca="false">COUNTIF(Opportunities!$E$4:$E$27,L16)</f>
        <v>2</v>
      </c>
      <c r="N16" s="61"/>
      <c r="O16" s="33"/>
    </row>
    <row r="17" customFormat="false" ht="22.5" hidden="false" customHeight="true" outlineLevel="0" collapsed="false">
      <c r="A17" s="74"/>
      <c r="B17" s="74"/>
      <c r="C17" s="71"/>
      <c r="D17" s="72"/>
      <c r="E17" s="72"/>
      <c r="F17" s="61"/>
      <c r="G17" s="62"/>
      <c r="H17" s="59"/>
      <c r="I17" s="59"/>
      <c r="J17" s="12"/>
      <c r="K17" s="12"/>
      <c r="L17" s="12"/>
      <c r="M17" s="63"/>
      <c r="N17" s="61"/>
      <c r="O17" s="33"/>
    </row>
    <row r="18" customFormat="false" ht="22.5" hidden="false" customHeight="true" outlineLevel="0" collapsed="false">
      <c r="A18" s="74"/>
      <c r="B18" s="74"/>
      <c r="C18" s="75"/>
      <c r="D18" s="61"/>
      <c r="E18" s="61"/>
      <c r="F18" s="61"/>
      <c r="G18" s="63"/>
      <c r="H18" s="59"/>
      <c r="I18" s="61"/>
      <c r="J18" s="63"/>
      <c r="K18" s="61"/>
      <c r="L18" s="61"/>
      <c r="M18" s="63"/>
      <c r="N18" s="76"/>
      <c r="O18" s="77"/>
    </row>
    <row r="19" customFormat="false" ht="22.5" hidden="false" customHeight="true" outlineLevel="0" collapsed="false">
      <c r="A19" s="74"/>
      <c r="B19" s="78"/>
      <c r="C19" s="79"/>
      <c r="D19" s="61"/>
      <c r="E19" s="61"/>
      <c r="F19" s="61"/>
      <c r="G19" s="63"/>
      <c r="H19" s="59"/>
      <c r="I19" s="61"/>
      <c r="J19" s="61"/>
      <c r="K19" s="61"/>
      <c r="L19" s="65" t="s">
        <v>22</v>
      </c>
      <c r="M19" s="66" t="s">
        <v>29</v>
      </c>
      <c r="N19" s="76"/>
      <c r="O19" s="37"/>
    </row>
    <row r="20" customFormat="false" ht="22.5" hidden="false" customHeight="true" outlineLevel="0" collapsed="false">
      <c r="A20" s="80"/>
      <c r="B20" s="80"/>
      <c r="C20" s="81" t="s">
        <v>30</v>
      </c>
      <c r="D20" s="81"/>
      <c r="E20" s="81"/>
      <c r="F20" s="81"/>
      <c r="G20" s="81"/>
      <c r="H20" s="81"/>
      <c r="I20" s="81"/>
      <c r="J20" s="81"/>
      <c r="K20" s="81"/>
      <c r="L20" s="82" t="s">
        <v>24</v>
      </c>
      <c r="M20" s="83" t="n">
        <f aca="false">SUMIF(Opportunities!$E$4:$E$27,L20,Opportunities!$F$4:$F$27)</f>
        <v>101964</v>
      </c>
      <c r="N20" s="76"/>
      <c r="O20" s="84"/>
    </row>
    <row r="21" customFormat="false" ht="22.5" hidden="false" customHeight="true" outlineLevel="0" collapsed="false">
      <c r="A21" s="85"/>
      <c r="B21" s="85"/>
      <c r="C21" s="81"/>
      <c r="D21" s="81"/>
      <c r="E21" s="81"/>
      <c r="F21" s="81"/>
      <c r="G21" s="81"/>
      <c r="H21" s="81"/>
      <c r="I21" s="81"/>
      <c r="J21" s="81"/>
      <c r="K21" s="81"/>
      <c r="L21" s="82" t="s">
        <v>25</v>
      </c>
      <c r="M21" s="83" t="n">
        <f aca="false">SUMIF(Opportunities!$E$4:$E$27,L21,Opportunities!$F$4:$F$27)</f>
        <v>21960</v>
      </c>
      <c r="N21" s="86"/>
      <c r="O21" s="87"/>
    </row>
    <row r="22" customFormat="false" ht="22.5" hidden="false" customHeight="true" outlineLevel="0" collapsed="false">
      <c r="A22" s="74"/>
      <c r="B22" s="74"/>
      <c r="C22" s="81"/>
      <c r="D22" s="81"/>
      <c r="E22" s="81"/>
      <c r="F22" s="81"/>
      <c r="G22" s="81"/>
      <c r="H22" s="81"/>
      <c r="I22" s="81"/>
      <c r="J22" s="81"/>
      <c r="K22" s="81"/>
      <c r="L22" s="82" t="s">
        <v>26</v>
      </c>
      <c r="M22" s="83" t="n">
        <f aca="false">SUMIF(Opportunities!$E$4:$E$27,L22,Opportunities!$F$4:$F$27)</f>
        <v>37920</v>
      </c>
      <c r="N22" s="86"/>
      <c r="O22" s="87"/>
    </row>
    <row r="23" customFormat="false" ht="22.5" hidden="false" customHeight="true" outlineLevel="0" collapsed="false">
      <c r="A23" s="88"/>
      <c r="B23" s="88"/>
      <c r="C23" s="89"/>
      <c r="D23" s="89"/>
      <c r="E23" s="89"/>
      <c r="F23" s="89"/>
      <c r="G23" s="89"/>
      <c r="H23" s="89"/>
      <c r="I23" s="89"/>
      <c r="J23" s="12"/>
      <c r="K23" s="12"/>
      <c r="L23" s="82" t="s">
        <v>27</v>
      </c>
      <c r="M23" s="83" t="n">
        <f aca="false">SUMIF(Opportunities!$E$4:$E$27,L23,Opportunities!$F$4:$F$27)</f>
        <v>54444</v>
      </c>
      <c r="N23" s="86"/>
      <c r="O23" s="87"/>
    </row>
    <row r="24" customFormat="false" ht="22.5" hidden="false" customHeight="true" outlineLevel="0" collapsed="false">
      <c r="A24" s="88"/>
      <c r="B24" s="88"/>
      <c r="C24" s="59"/>
      <c r="D24" s="59"/>
      <c r="E24" s="59"/>
      <c r="F24" s="59"/>
      <c r="G24" s="62"/>
      <c r="H24" s="59"/>
      <c r="I24" s="59"/>
      <c r="J24" s="12"/>
      <c r="K24" s="12"/>
      <c r="L24" s="69" t="s">
        <v>28</v>
      </c>
      <c r="M24" s="83" t="n">
        <f aca="false">SUMIF(Opportunities!$E$4:$E$27,L24,Opportunities!$F$4:$F$27)</f>
        <v>8172</v>
      </c>
      <c r="N24" s="86"/>
      <c r="O24" s="87"/>
    </row>
    <row r="25" customFormat="false" ht="22.5" hidden="false" customHeight="true" outlineLevel="0" collapsed="false">
      <c r="A25" s="90"/>
      <c r="B25" s="90"/>
      <c r="C25" s="59"/>
      <c r="D25" s="59"/>
      <c r="E25" s="59"/>
      <c r="F25" s="59"/>
      <c r="G25" s="62"/>
      <c r="H25" s="59"/>
      <c r="I25" s="59"/>
      <c r="J25" s="12"/>
      <c r="K25" s="12"/>
      <c r="L25" s="12"/>
      <c r="M25" s="12"/>
      <c r="N25" s="86"/>
      <c r="O25" s="87"/>
    </row>
    <row r="26" customFormat="false" ht="22.5" hidden="false" customHeight="true" outlineLevel="0" collapsed="false">
      <c r="A26" s="91"/>
      <c r="B26" s="91"/>
      <c r="C26" s="54"/>
      <c r="D26" s="54"/>
      <c r="E26" s="54"/>
      <c r="F26" s="54"/>
      <c r="G26" s="55"/>
      <c r="H26" s="54"/>
      <c r="I26" s="54"/>
      <c r="N26" s="84"/>
      <c r="O26" s="84"/>
    </row>
    <row r="27" customFormat="false" ht="22.5" hidden="false" customHeight="true" outlineLevel="0" collapsed="false">
      <c r="A27" s="91"/>
      <c r="B27" s="91"/>
      <c r="C27" s="54"/>
      <c r="D27" s="54"/>
      <c r="E27" s="54"/>
      <c r="F27" s="54"/>
      <c r="G27" s="55"/>
      <c r="H27" s="54"/>
      <c r="I27" s="54"/>
      <c r="J27" s="39"/>
      <c r="K27" s="39"/>
      <c r="L27" s="92"/>
      <c r="M27" s="93"/>
      <c r="N27" s="84"/>
      <c r="O27" s="84"/>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5">
    <mergeCell ref="C5:E7"/>
    <mergeCell ref="F5:F7"/>
    <mergeCell ref="G5:G7"/>
    <mergeCell ref="H5:H7"/>
    <mergeCell ref="I5:I7"/>
    <mergeCell ref="J5:J7"/>
    <mergeCell ref="K5:K7"/>
    <mergeCell ref="L5:L7"/>
    <mergeCell ref="M5:M7"/>
    <mergeCell ref="N5:N7"/>
    <mergeCell ref="C13:C14"/>
    <mergeCell ref="C16:C17"/>
    <mergeCell ref="E16:E17"/>
    <mergeCell ref="C20:K22"/>
    <mergeCell ref="C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19"/>
    <col collapsed="false" customWidth="true" hidden="false" outlineLevel="0" max="3" min="3" style="0" width="26.88"/>
    <col collapsed="false" customWidth="true" hidden="false" outlineLevel="0" max="4" min="4" style="0" width="19.25"/>
    <col collapsed="false" customWidth="true" hidden="false" outlineLevel="0" max="5" min="5" style="0" width="25.38"/>
    <col collapsed="false" customWidth="true" hidden="false" outlineLevel="0" max="6" min="6" style="0" width="17.75"/>
    <col collapsed="false" customWidth="true" hidden="false" outlineLevel="0" max="7" min="7" style="0" width="20.75"/>
    <col collapsed="false" customWidth="true" hidden="false" outlineLevel="0" max="8" min="8" style="0" width="19"/>
    <col collapsed="false" customWidth="true" hidden="false" outlineLevel="0" max="9" min="9" style="0" width="19.38"/>
    <col collapsed="false" customWidth="true" hidden="false" outlineLevel="0" max="13" min="13" style="0" width="13.38"/>
    <col collapsed="false" customWidth="true" hidden="false" outlineLevel="0" max="14" min="14" style="0" width="37.63"/>
    <col collapsed="false" customWidth="true" hidden="false" outlineLevel="0" max="15" min="15" style="0" width="3.88"/>
  </cols>
  <sheetData>
    <row r="1" customFormat="false" ht="51" hidden="false" customHeight="true" outlineLevel="0" collapsed="false">
      <c r="A1" s="94"/>
      <c r="B1" s="94"/>
      <c r="C1" s="30" t="s">
        <v>10</v>
      </c>
      <c r="D1" s="95" t="s">
        <v>31</v>
      </c>
      <c r="E1" s="96" t="s">
        <v>32</v>
      </c>
      <c r="F1" s="96"/>
      <c r="G1" s="97"/>
      <c r="H1" s="97"/>
      <c r="I1" s="97"/>
      <c r="J1" s="97"/>
      <c r="K1" s="97"/>
      <c r="L1" s="97"/>
      <c r="M1" s="97"/>
      <c r="N1" s="97"/>
      <c r="O1" s="31"/>
    </row>
    <row r="2" customFormat="false" ht="22.5" hidden="false" customHeight="true" outlineLevel="0" collapsed="false">
      <c r="A2" s="39"/>
      <c r="B2" s="39"/>
      <c r="C2" s="39"/>
      <c r="D2" s="84"/>
      <c r="E2" s="84"/>
      <c r="F2" s="84"/>
      <c r="G2" s="84"/>
      <c r="H2" s="84"/>
      <c r="I2" s="84"/>
      <c r="J2" s="84"/>
      <c r="K2" s="84"/>
      <c r="L2" s="84"/>
      <c r="M2" s="84"/>
      <c r="N2" s="84"/>
      <c r="O2" s="84"/>
    </row>
    <row r="3" customFormat="false" ht="22.5" hidden="false" customHeight="true" outlineLevel="0" collapsed="false">
      <c r="A3" s="39"/>
      <c r="B3" s="98" t="s">
        <v>33</v>
      </c>
      <c r="C3" s="99" t="s">
        <v>34</v>
      </c>
      <c r="D3" s="100" t="s">
        <v>12</v>
      </c>
      <c r="E3" s="100" t="s">
        <v>35</v>
      </c>
      <c r="F3" s="100" t="s">
        <v>36</v>
      </c>
      <c r="G3" s="100" t="s">
        <v>37</v>
      </c>
      <c r="H3" s="100" t="s">
        <v>38</v>
      </c>
      <c r="I3" s="100" t="s">
        <v>39</v>
      </c>
      <c r="J3" s="100" t="s">
        <v>40</v>
      </c>
      <c r="K3" s="100" t="s">
        <v>41</v>
      </c>
      <c r="L3" s="100" t="s">
        <v>42</v>
      </c>
      <c r="M3" s="100" t="s">
        <v>43</v>
      </c>
      <c r="N3" s="100" t="s">
        <v>44</v>
      </c>
      <c r="O3" s="84"/>
    </row>
    <row r="4" customFormat="false" ht="22.5" hidden="false" customHeight="true" outlineLevel="0" collapsed="false">
      <c r="A4" s="101"/>
      <c r="B4" s="102" t="s">
        <v>26</v>
      </c>
      <c r="C4" s="103" t="s">
        <v>45</v>
      </c>
      <c r="D4" s="103" t="s">
        <v>46</v>
      </c>
      <c r="E4" s="104" t="str">
        <f aca="false">HYPERLINK("mailto:michael.voss@voss-antriebstechnik.de","michael.voss@voss-antriebstechnik.de")</f>
        <v>michael.voss@voss-antriebstechnik.de</v>
      </c>
      <c r="F4" s="103" t="s">
        <v>47</v>
      </c>
      <c r="G4" s="103" t="s">
        <v>48</v>
      </c>
      <c r="H4" s="105" t="s">
        <v>49</v>
      </c>
      <c r="I4" s="104" t="s">
        <v>50</v>
      </c>
      <c r="J4" s="103" t="s">
        <v>51</v>
      </c>
      <c r="K4" s="103" t="s">
        <v>52</v>
      </c>
      <c r="L4" s="103" t="n">
        <v>70173</v>
      </c>
      <c r="M4" s="106" t="str">
        <f aca="false">IF(D4="","-",HYPERLINK("http://www.linkedin.com/search/fpsearch?type=people&amp;keywords="&amp;C4&amp;" "&amp;D4&amp;"&amp;pplSearchOrigin=GLHD&amp;pageKey=fps_results"))</f>
        <v>http://www.linkedin.com/search/fpsearch?type=people&amp;keywords=Michael Voss Voss Antriebstechnik GmbH&amp;pplSearchOrigin=GLHD&amp;pageKey=fps_results</v>
      </c>
      <c r="N4" s="103" t="s">
        <v>53</v>
      </c>
      <c r="O4" s="84"/>
    </row>
    <row r="5" customFormat="false" ht="22.5" hidden="false" customHeight="true" outlineLevel="0" collapsed="false">
      <c r="A5" s="101"/>
      <c r="B5" s="107" t="s">
        <v>25</v>
      </c>
      <c r="C5" s="108" t="s">
        <v>54</v>
      </c>
      <c r="D5" s="108" t="s">
        <v>55</v>
      </c>
      <c r="E5" s="104" t="str">
        <f aca="false">HYPERLINK("mailto:petra.rehbach@rehbach-foerdertechnik.de","petra.rehbach@rehbach-foerdertechnik.de")</f>
        <v>petra.rehbach@rehbach-foerdertechnik.de</v>
      </c>
      <c r="F5" s="103" t="s">
        <v>56</v>
      </c>
      <c r="G5" s="103" t="s">
        <v>57</v>
      </c>
      <c r="H5" s="109" t="s">
        <v>58</v>
      </c>
      <c r="I5" s="104" t="s">
        <v>59</v>
      </c>
      <c r="J5" s="103" t="s">
        <v>60</v>
      </c>
      <c r="K5" s="103" t="s">
        <v>61</v>
      </c>
      <c r="L5" s="103" t="n">
        <v>73728</v>
      </c>
      <c r="M5" s="106" t="str">
        <f aca="false">IF(D5="","-",HYPERLINK("http://www.linkedin.com/search/fpsearch?type=people&amp;keywords="&amp;C5&amp;" "&amp;D5&amp;"&amp;pplSearchOrigin=GLHD&amp;pageKey=fps_results"))</f>
        <v>http://www.linkedin.com/search/fpsearch?type=people&amp;keywords=Petra Rehbach Rehbach Fördertechnik GmbH&amp;pplSearchOrigin=GLHD&amp;pageKey=fps_results</v>
      </c>
      <c r="N5" s="103" t="s">
        <v>62</v>
      </c>
      <c r="O5" s="84"/>
    </row>
    <row r="6" customFormat="false" ht="22.5" hidden="false" customHeight="true" outlineLevel="0" collapsed="false">
      <c r="A6" s="101"/>
      <c r="B6" s="107" t="s">
        <v>63</v>
      </c>
      <c r="C6" s="110" t="s">
        <v>64</v>
      </c>
      <c r="D6" s="110" t="s">
        <v>65</v>
      </c>
      <c r="E6" s="111" t="str">
        <f aca="false">HYPERLINK("mailto:frank.kessler@kessler-praezision.de","frank.kessler@kessler-praezision.de")</f>
        <v>frank.kessler@kessler-praezision.de</v>
      </c>
      <c r="F6" s="103" t="s">
        <v>66</v>
      </c>
      <c r="G6" s="103" t="s">
        <v>57</v>
      </c>
      <c r="H6" s="109" t="s">
        <v>67</v>
      </c>
      <c r="I6" s="111" t="s">
        <v>68</v>
      </c>
      <c r="J6" s="103" t="s">
        <v>69</v>
      </c>
      <c r="K6" s="103" t="s">
        <v>70</v>
      </c>
      <c r="L6" s="103" t="n">
        <v>72760</v>
      </c>
      <c r="M6" s="106" t="str">
        <f aca="false">IF(D6="","-",HYPERLINK("http://www.linkedin.com/search/fpsearch?type=people&amp;keywords="&amp;C6&amp;" "&amp;D6&amp;"&amp;pplSearchOrigin=GLHD&amp;pageKey=fps_results"))</f>
        <v>http://www.linkedin.com/search/fpsearch?type=people&amp;keywords=Frank Kessler Kessler Präzisionswerk GmbH&amp;pplSearchOrigin=GLHD&amp;pageKey=fps_results</v>
      </c>
      <c r="N6" s="103" t="s">
        <v>71</v>
      </c>
      <c r="O6" s="84"/>
    </row>
    <row r="7" customFormat="false" ht="22.5" hidden="false" customHeight="true" outlineLevel="0" collapsed="false">
      <c r="A7" s="101"/>
      <c r="B7" s="107" t="s">
        <v>72</v>
      </c>
      <c r="C7" s="110" t="s">
        <v>73</v>
      </c>
      <c r="D7" s="110" t="s">
        <v>74</v>
      </c>
      <c r="E7" s="111" t="str">
        <f aca="false">HYPERLINK("mailto:claudia.brenner@brenner-hydraulik.de","claudia.brenner@brenner-hydraulik.de")</f>
        <v>claudia.brenner@brenner-hydraulik.de</v>
      </c>
      <c r="F7" s="103" t="s">
        <v>75</v>
      </c>
      <c r="G7" s="103" t="s">
        <v>48</v>
      </c>
      <c r="H7" s="109" t="s">
        <v>76</v>
      </c>
      <c r="I7" s="111" t="s">
        <v>77</v>
      </c>
      <c r="J7" s="103" t="s">
        <v>78</v>
      </c>
      <c r="K7" s="103" t="s">
        <v>79</v>
      </c>
      <c r="L7" s="103" t="n">
        <v>78048</v>
      </c>
      <c r="M7" s="106" t="str">
        <f aca="false">IF(D7="","-",HYPERLINK("http://www.linkedin.com/search/fpsearch?type=people&amp;keywords="&amp;C7&amp;" "&amp;D7&amp;"&amp;pplSearchOrigin=GLHD&amp;pageKey=fps_results"))</f>
        <v>http://www.linkedin.com/search/fpsearch?type=people&amp;keywords=Claudia Brenner Brenner Hydraulik AG&amp;pplSearchOrigin=GLHD&amp;pageKey=fps_results</v>
      </c>
      <c r="N7" s="103" t="s">
        <v>80</v>
      </c>
      <c r="O7" s="84"/>
    </row>
    <row r="8" customFormat="false" ht="22.5" hidden="false" customHeight="true" outlineLevel="0" collapsed="false">
      <c r="A8" s="101"/>
      <c r="B8" s="107" t="s">
        <v>25</v>
      </c>
      <c r="C8" s="110" t="s">
        <v>81</v>
      </c>
      <c r="D8" s="110" t="s">
        <v>82</v>
      </c>
      <c r="E8" s="111" t="str">
        <f aca="false">HYPERLINK("mailto:stefan.nordmeyer@nordmeyer-maschinenbau.de","stefan.nordmeyer@nordmeyer-maschinenbau.de")</f>
        <v>stefan.nordmeyer@nordmeyer-maschinenbau.de</v>
      </c>
      <c r="F8" s="103" t="s">
        <v>83</v>
      </c>
      <c r="G8" s="103" t="s">
        <v>57</v>
      </c>
      <c r="H8" s="109" t="s">
        <v>84</v>
      </c>
      <c r="I8" s="111" t="s">
        <v>85</v>
      </c>
      <c r="J8" s="103" t="s">
        <v>86</v>
      </c>
      <c r="K8" s="103" t="s">
        <v>87</v>
      </c>
      <c r="L8" s="103" t="n">
        <v>33602</v>
      </c>
      <c r="M8" s="106" t="str">
        <f aca="false">IF(D8="","-",HYPERLINK("http://www.linkedin.com/search/fpsearch?type=people&amp;keywords="&amp;C8&amp;" "&amp;D8&amp;"&amp;pplSearchOrigin=GLHD&amp;pageKey=fps_results"))</f>
        <v>http://www.linkedin.com/search/fpsearch?type=people&amp;keywords=Stefan Nordmeyer Nordmeyer Maschinenbau GmbH &amp; Co. KG&amp;pplSearchOrigin=GLHD&amp;pageKey=fps_results</v>
      </c>
      <c r="N8" s="103" t="s">
        <v>88</v>
      </c>
      <c r="O8" s="84"/>
    </row>
    <row r="9" customFormat="false" ht="22.5" hidden="false" customHeight="true" outlineLevel="0" collapsed="false">
      <c r="A9" s="101"/>
      <c r="B9" s="107" t="s">
        <v>89</v>
      </c>
      <c r="C9" s="110" t="s">
        <v>90</v>
      </c>
      <c r="D9" s="110" t="s">
        <v>91</v>
      </c>
      <c r="E9" s="111" t="str">
        <f aca="false">HYPERLINK("mailto:robert.falkenrath@falkenrath-wzm.de","robert.falkenrath@falkenrath-wzm.de")</f>
        <v>robert.falkenrath@falkenrath-wzm.de</v>
      </c>
      <c r="F9" s="103" t="s">
        <v>66</v>
      </c>
      <c r="G9" s="103" t="s">
        <v>92</v>
      </c>
      <c r="H9" s="109" t="s">
        <v>93</v>
      </c>
      <c r="I9" s="111" t="s">
        <v>94</v>
      </c>
      <c r="J9" s="103" t="s">
        <v>95</v>
      </c>
      <c r="K9" s="103" t="s">
        <v>96</v>
      </c>
      <c r="L9" s="103" t="n">
        <v>9111</v>
      </c>
      <c r="M9" s="106" t="str">
        <f aca="false">IF(D9="","-",HYPERLINK("http://www.linkedin.com/search/fpsearch?type=people&amp;keywords="&amp;C9&amp;" "&amp;D9&amp;"&amp;pplSearchOrigin=GLHD&amp;pageKey=fps_results"))</f>
        <v>http://www.linkedin.com/search/fpsearch?type=people&amp;keywords=Robert Falkenrath Falkenrath Werkzeugmaschinen GmbH&amp;pplSearchOrigin=GLHD&amp;pageKey=fps_results</v>
      </c>
      <c r="N9" s="103" t="s">
        <v>97</v>
      </c>
      <c r="O9" s="84"/>
    </row>
    <row r="10" customFormat="false" ht="22.5" hidden="false" customHeight="true" outlineLevel="0" collapsed="false">
      <c r="A10" s="101"/>
      <c r="B10" s="112" t="s">
        <v>98</v>
      </c>
      <c r="C10" s="113" t="s">
        <v>99</v>
      </c>
      <c r="D10" s="113" t="s">
        <v>100</v>
      </c>
      <c r="E10" s="114" t="str">
        <f aca="false">HYPERLINK("mailto:anna.corvin@corvion-software.de","anna.corvin@corvion-software.de")</f>
        <v>anna.corvin@corvion-software.de</v>
      </c>
      <c r="F10" s="115" t="s">
        <v>56</v>
      </c>
      <c r="G10" s="115" t="s">
        <v>48</v>
      </c>
      <c r="H10" s="109" t="s">
        <v>101</v>
      </c>
      <c r="I10" s="114" t="s">
        <v>102</v>
      </c>
      <c r="J10" s="115" t="s">
        <v>103</v>
      </c>
      <c r="K10" s="115" t="s">
        <v>104</v>
      </c>
      <c r="L10" s="115" t="n">
        <v>10115</v>
      </c>
      <c r="M10" s="106" t="str">
        <f aca="false">IF(D10="","-",HYPERLINK("http://www.linkedin.com/search/fpsearch?type=people&amp;keywords="&amp;C10&amp;" "&amp;D10&amp;"&amp;pplSearchOrigin=GLHD&amp;pageKey=fps_results"))</f>
        <v>http://www.linkedin.com/search/fpsearch?type=people&amp;keywords=Anna Corvin Corvion Software GmbH&amp;pplSearchOrigin=GLHD&amp;pageKey=fps_results</v>
      </c>
      <c r="N10" s="116" t="s">
        <v>105</v>
      </c>
      <c r="O10" s="39"/>
    </row>
    <row r="11" customFormat="false" ht="22.5" hidden="false" customHeight="true" outlineLevel="0" collapsed="false">
      <c r="A11" s="101"/>
      <c r="B11" s="102" t="s">
        <v>26</v>
      </c>
      <c r="C11" s="103" t="s">
        <v>106</v>
      </c>
      <c r="D11" s="103" t="s">
        <v>107</v>
      </c>
      <c r="E11" s="104" t="str">
        <f aca="false">HYPERLINK("mailto:julia.bittner@bittner-it.de","julia.bittner@bittner-it.de")</f>
        <v>julia.bittner@bittner-it.de</v>
      </c>
      <c r="F11" s="103" t="s">
        <v>75</v>
      </c>
      <c r="G11" s="103" t="s">
        <v>57</v>
      </c>
      <c r="H11" s="105" t="s">
        <v>108</v>
      </c>
      <c r="I11" s="104" t="s">
        <v>109</v>
      </c>
      <c r="J11" s="103" t="s">
        <v>110</v>
      </c>
      <c r="K11" s="103" t="s">
        <v>111</v>
      </c>
      <c r="L11" s="103" t="n">
        <v>80331</v>
      </c>
      <c r="M11" s="106" t="str">
        <f aca="false">IF(D11="","-",HYPERLINK("http://www.linkedin.com/search/fpsearch?type=people&amp;keywords="&amp;C11&amp;" "&amp;D11&amp;"&amp;pplSearchOrigin=GLHD&amp;pageKey=fps_results"))</f>
        <v>http://www.linkedin.com/search/fpsearch?type=people&amp;keywords=Julia Bittner Bittner IT-Solutions GmbH&amp;pplSearchOrigin=GLHD&amp;pageKey=fps_results</v>
      </c>
      <c r="N11" s="103" t="s">
        <v>112</v>
      </c>
      <c r="O11" s="39"/>
    </row>
    <row r="12" customFormat="false" ht="22.5" hidden="false" customHeight="true" outlineLevel="0" collapsed="false">
      <c r="A12" s="101"/>
      <c r="B12" s="102" t="s">
        <v>63</v>
      </c>
      <c r="C12" s="103" t="s">
        <v>113</v>
      </c>
      <c r="D12" s="103" t="s">
        <v>114</v>
      </c>
      <c r="E12" s="104" t="str">
        <f aca="false">HYPERLINK("mailto:kevin.pauls@pixelwerk-digital.de","kevin.pauls@pixelwerk-digital.de")</f>
        <v>kevin.pauls@pixelwerk-digital.de</v>
      </c>
      <c r="F12" s="103" t="s">
        <v>115</v>
      </c>
      <c r="G12" s="103" t="s">
        <v>57</v>
      </c>
      <c r="H12" s="105" t="s">
        <v>116</v>
      </c>
      <c r="I12" s="104" t="s">
        <v>117</v>
      </c>
      <c r="J12" s="103" t="s">
        <v>118</v>
      </c>
      <c r="K12" s="103" t="s">
        <v>119</v>
      </c>
      <c r="L12" s="103" t="n">
        <v>20095</v>
      </c>
      <c r="M12" s="106" t="str">
        <f aca="false">IF(D12="","-",HYPERLINK("http://www.linkedin.com/search/fpsearch?type=people&amp;keywords="&amp;C12&amp;" "&amp;D12&amp;"&amp;pplSearchOrigin=GLHD&amp;pageKey=fps_results"))</f>
        <v>http://www.linkedin.com/search/fpsearch?type=people&amp;keywords=Kevin Pauls Pixelwerk Digital GmbH&amp;pplSearchOrigin=GLHD&amp;pageKey=fps_results</v>
      </c>
      <c r="N12" s="103" t="s">
        <v>120</v>
      </c>
    </row>
    <row r="13" customFormat="false" ht="22.5" hidden="false" customHeight="true" outlineLevel="0" collapsed="false">
      <c r="A13" s="101"/>
      <c r="B13" s="102" t="s">
        <v>98</v>
      </c>
      <c r="C13" s="103" t="s">
        <v>121</v>
      </c>
      <c r="D13" s="103" t="s">
        <v>122</v>
      </c>
      <c r="E13" s="104" t="str">
        <f aca="false">HYPERLINK("mailto:nadine.kurz@nexora-systems.de","nadine.kurz@nexora-systems.de")</f>
        <v>nadine.kurz@nexora-systems.de</v>
      </c>
      <c r="F13" s="103" t="s">
        <v>123</v>
      </c>
      <c r="G13" s="103" t="s">
        <v>48</v>
      </c>
      <c r="H13" s="105" t="s">
        <v>124</v>
      </c>
      <c r="I13" s="104" t="s">
        <v>125</v>
      </c>
      <c r="J13" s="103" t="s">
        <v>126</v>
      </c>
      <c r="K13" s="103" t="s">
        <v>127</v>
      </c>
      <c r="L13" s="103" t="n">
        <v>50667</v>
      </c>
      <c r="M13" s="106" t="str">
        <f aca="false">IF(D13="","-",HYPERLINK("http://www.linkedin.com/search/fpsearch?type=people&amp;keywords="&amp;C13&amp;" "&amp;D13&amp;"&amp;pplSearchOrigin=GLHD&amp;pageKey=fps_results"))</f>
        <v>http://www.linkedin.com/search/fpsearch?type=people&amp;keywords=Nadine Kurz Nexora Systems GmbH&amp;pplSearchOrigin=GLHD&amp;pageKey=fps_results</v>
      </c>
      <c r="N13" s="103" t="s">
        <v>128</v>
      </c>
    </row>
    <row r="14" customFormat="false" ht="22.5" hidden="false" customHeight="true" outlineLevel="0" collapsed="false">
      <c r="A14" s="101"/>
      <c r="B14" s="102" t="s">
        <v>25</v>
      </c>
      <c r="C14" s="103" t="s">
        <v>129</v>
      </c>
      <c r="D14" s="103" t="s">
        <v>130</v>
      </c>
      <c r="E14" s="104" t="str">
        <f aca="false">HYPERLINK("mailto:tobias.vogt@vantis-cloud.de","tobias.vogt@vantis-cloud.de")</f>
        <v>tobias.vogt@vantis-cloud.de</v>
      </c>
      <c r="F14" s="103" t="s">
        <v>66</v>
      </c>
      <c r="G14" s="103" t="s">
        <v>57</v>
      </c>
      <c r="H14" s="105" t="s">
        <v>131</v>
      </c>
      <c r="I14" s="104" t="s">
        <v>132</v>
      </c>
      <c r="J14" s="103" t="s">
        <v>133</v>
      </c>
      <c r="K14" s="103" t="s">
        <v>134</v>
      </c>
      <c r="L14" s="103" t="n">
        <v>4109</v>
      </c>
      <c r="M14" s="106" t="str">
        <f aca="false">IF(D14="","-",HYPERLINK("http://www.linkedin.com/search/fpsearch?type=people&amp;keywords="&amp;C14&amp;" "&amp;D14&amp;"&amp;pplSearchOrigin=GLHD&amp;pageKey=fps_results"))</f>
        <v>http://www.linkedin.com/search/fpsearch?type=people&amp;keywords=Tobias Vogt Vantis Cloud Services GmbH&amp;pplSearchOrigin=GLHD&amp;pageKey=fps_results</v>
      </c>
      <c r="N14" s="103" t="s">
        <v>135</v>
      </c>
    </row>
    <row r="15" customFormat="false" ht="22.5" hidden="false" customHeight="true" outlineLevel="0" collapsed="false">
      <c r="A15" s="101"/>
      <c r="B15" s="102" t="s">
        <v>26</v>
      </c>
      <c r="C15" s="103" t="s">
        <v>136</v>
      </c>
      <c r="D15" s="103" t="s">
        <v>137</v>
      </c>
      <c r="E15" s="104" t="str">
        <f aca="false">HYPERLINK("mailto:sabine.dornbach@dornbach-consulting.de","sabine.dornbach@dornbach-consulting.de")</f>
        <v>sabine.dornbach@dornbach-consulting.de</v>
      </c>
      <c r="F15" s="103" t="s">
        <v>138</v>
      </c>
      <c r="G15" s="103" t="s">
        <v>57</v>
      </c>
      <c r="H15" s="105" t="s">
        <v>139</v>
      </c>
      <c r="I15" s="104" t="s">
        <v>140</v>
      </c>
      <c r="J15" s="103" t="s">
        <v>141</v>
      </c>
      <c r="K15" s="103" t="s">
        <v>142</v>
      </c>
      <c r="L15" s="103" t="n">
        <v>60311</v>
      </c>
      <c r="M15" s="106" t="str">
        <f aca="false">IF(D15="","-",HYPERLINK("http://www.linkedin.com/search/fpsearch?type=people&amp;keywords="&amp;C15&amp;" "&amp;D15&amp;"&amp;pplSearchOrigin=GLHD&amp;pageKey=fps_results"))</f>
        <v>http://www.linkedin.com/search/fpsearch?type=people&amp;keywords=Sabine Dornbach Dornbach IT Consulting GmbH&amp;pplSearchOrigin=GLHD&amp;pageKey=fps_results</v>
      </c>
      <c r="N15" s="103" t="s">
        <v>143</v>
      </c>
    </row>
    <row r="16" customFormat="false" ht="22.5" hidden="false" customHeight="true" outlineLevel="0" collapsed="false">
      <c r="A16" s="101"/>
      <c r="B16" s="102" t="s">
        <v>98</v>
      </c>
      <c r="C16" s="103" t="s">
        <v>144</v>
      </c>
      <c r="D16" s="103" t="s">
        <v>145</v>
      </c>
      <c r="E16" s="104" t="str">
        <f aca="false">HYPERLINK("mailto:markus.reimann@reimann-grosshandel.de","markus.reimann@reimann-grosshandel.de")</f>
        <v>markus.reimann@reimann-grosshandel.de</v>
      </c>
      <c r="F16" s="103" t="s">
        <v>47</v>
      </c>
      <c r="G16" s="103" t="s">
        <v>48</v>
      </c>
      <c r="H16" s="105" t="s">
        <v>146</v>
      </c>
      <c r="I16" s="104" t="s">
        <v>147</v>
      </c>
      <c r="J16" s="103" t="s">
        <v>148</v>
      </c>
      <c r="K16" s="103" t="s">
        <v>149</v>
      </c>
      <c r="L16" s="103" t="n">
        <v>44135</v>
      </c>
      <c r="M16" s="106" t="str">
        <f aca="false">IF(D16="","-",HYPERLINK("http://www.linkedin.com/search/fpsearch?type=people&amp;keywords="&amp;C16&amp;" "&amp;D16&amp;"&amp;pplSearchOrigin=GLHD&amp;pageKey=fps_results"))</f>
        <v>http://www.linkedin.com/search/fpsearch?type=people&amp;keywords=Markus Reimann Reimann Großhandel GmbH&amp;pplSearchOrigin=GLHD&amp;pageKey=fps_results</v>
      </c>
      <c r="N16" s="103" t="s">
        <v>150</v>
      </c>
    </row>
    <row r="17" customFormat="false" ht="22.5" hidden="false" customHeight="true" outlineLevel="0" collapsed="false">
      <c r="A17" s="101"/>
      <c r="B17" s="102" t="s">
        <v>27</v>
      </c>
      <c r="C17" s="103" t="s">
        <v>151</v>
      </c>
      <c r="D17" s="103" t="s">
        <v>152</v>
      </c>
      <c r="E17" s="104" t="str">
        <f aca="false">HYPERLINK("mailto:susanne.kaltenbach@kaltenbach-baustoff.de","susanne.kaltenbach@kaltenbach-baustoff.de")</f>
        <v>susanne.kaltenbach@kaltenbach-baustoff.de</v>
      </c>
      <c r="F17" s="103" t="s">
        <v>56</v>
      </c>
      <c r="G17" s="103" t="s">
        <v>57</v>
      </c>
      <c r="H17" s="105" t="s">
        <v>153</v>
      </c>
      <c r="I17" s="104" t="s">
        <v>154</v>
      </c>
      <c r="J17" s="103" t="s">
        <v>155</v>
      </c>
      <c r="K17" s="103" t="s">
        <v>156</v>
      </c>
      <c r="L17" s="103" t="n">
        <v>68159</v>
      </c>
      <c r="M17" s="106" t="str">
        <f aca="false">IF(D17="","-",HYPERLINK("http://www.linkedin.com/search/fpsearch?type=people&amp;keywords="&amp;C17&amp;" "&amp;D17&amp;"&amp;pplSearchOrigin=GLHD&amp;pageKey=fps_results"))</f>
        <v>http://www.linkedin.com/search/fpsearch?type=people&amp;keywords=Susanne Kaltenbach Kaltenbach Baustoffhandel GmbH&amp;pplSearchOrigin=GLHD&amp;pageKey=fps_results</v>
      </c>
      <c r="N17" s="103" t="s">
        <v>157</v>
      </c>
    </row>
    <row r="18" customFormat="false" ht="22.5" hidden="false" customHeight="true" outlineLevel="0" collapsed="false">
      <c r="A18" s="101"/>
      <c r="B18" s="102" t="s">
        <v>98</v>
      </c>
      <c r="C18" s="103" t="s">
        <v>158</v>
      </c>
      <c r="D18" s="103" t="s">
        <v>159</v>
      </c>
      <c r="E18" s="104" t="str">
        <f aca="false">HYPERLINK("mailto:heiko.nordfrost@nordfrost-getraenke.de","heiko.nordfrost@nordfrost-getraenke.de")</f>
        <v>heiko.nordfrost@nordfrost-getraenke.de</v>
      </c>
      <c r="F18" s="103" t="s">
        <v>47</v>
      </c>
      <c r="G18" s="103" t="s">
        <v>48</v>
      </c>
      <c r="H18" s="105" t="s">
        <v>160</v>
      </c>
      <c r="I18" s="104" t="s">
        <v>161</v>
      </c>
      <c r="J18" s="103" t="s">
        <v>162</v>
      </c>
      <c r="K18" s="103" t="s">
        <v>163</v>
      </c>
      <c r="L18" s="103" t="n">
        <v>28195</v>
      </c>
      <c r="M18" s="106" t="str">
        <f aca="false">IF(D18="","-",HYPERLINK("http://www.linkedin.com/search/fpsearch?type=people&amp;keywords="&amp;C18&amp;" "&amp;D18&amp;"&amp;pplSearchOrigin=GLHD&amp;pageKey=fps_results"))</f>
        <v>http://www.linkedin.com/search/fpsearch?type=people&amp;keywords=Heiko Nordfrost Nordfrost Getränkehandel GmbH&amp;pplSearchOrigin=GLHD&amp;pageKey=fps_results</v>
      </c>
      <c r="N18" s="103" t="s">
        <v>164</v>
      </c>
    </row>
    <row r="19" customFormat="false" ht="22.5" hidden="false" customHeight="true" outlineLevel="0" collapsed="false">
      <c r="A19" s="101"/>
      <c r="B19" s="102" t="s">
        <v>25</v>
      </c>
      <c r="C19" s="103" t="s">
        <v>165</v>
      </c>
      <c r="D19" s="103" t="s">
        <v>166</v>
      </c>
      <c r="E19" s="104" t="str">
        <f aca="false">HYPERLINK("mailto:katrin.ostmann@ostmann-elektro.de","katrin.ostmann@ostmann-elektro.de")</f>
        <v>katrin.ostmann@ostmann-elektro.de</v>
      </c>
      <c r="F19" s="103" t="s">
        <v>167</v>
      </c>
      <c r="G19" s="103" t="s">
        <v>57</v>
      </c>
      <c r="H19" s="105" t="s">
        <v>168</v>
      </c>
      <c r="I19" s="104" t="s">
        <v>169</v>
      </c>
      <c r="J19" s="103" t="s">
        <v>170</v>
      </c>
      <c r="K19" s="103" t="s">
        <v>171</v>
      </c>
      <c r="L19" s="103" t="n">
        <v>30159</v>
      </c>
      <c r="M19" s="106" t="str">
        <f aca="false">IF(D19="","-",HYPERLINK("http://www.linkedin.com/search/fpsearch?type=people&amp;keywords="&amp;C19&amp;" "&amp;D19&amp;"&amp;pplSearchOrigin=GLHD&amp;pageKey=fps_results"))</f>
        <v>http://www.linkedin.com/search/fpsearch?type=people&amp;keywords=Katrin Ostmann Ostmann Elektrogroßhandel GmbH&amp;pplSearchOrigin=GLHD&amp;pageKey=fps_results</v>
      </c>
      <c r="N19" s="103" t="s">
        <v>172</v>
      </c>
    </row>
    <row r="20" customFormat="false" ht="22.5" hidden="false" customHeight="true" outlineLevel="0" collapsed="false">
      <c r="A20" s="101"/>
      <c r="B20" s="102" t="s">
        <v>89</v>
      </c>
      <c r="C20" s="103" t="s">
        <v>173</v>
      </c>
      <c r="D20" s="103" t="s">
        <v>174</v>
      </c>
      <c r="E20" s="104" t="str">
        <f aca="false">HYPERLINK("mailto:dirk.wendland@wendland-agrar.de","dirk.wendland@wendland-agrar.de")</f>
        <v>dirk.wendland@wendland-agrar.de</v>
      </c>
      <c r="F20" s="103" t="s">
        <v>66</v>
      </c>
      <c r="G20" s="103" t="s">
        <v>92</v>
      </c>
      <c r="H20" s="105" t="s">
        <v>175</v>
      </c>
      <c r="I20" s="104" t="s">
        <v>176</v>
      </c>
      <c r="J20" s="103" t="s">
        <v>177</v>
      </c>
      <c r="K20" s="103" t="s">
        <v>178</v>
      </c>
      <c r="L20" s="103" t="n">
        <v>39104</v>
      </c>
      <c r="M20" s="106" t="str">
        <f aca="false">IF(D20="","-",HYPERLINK("http://www.linkedin.com/search/fpsearch?type=people&amp;keywords="&amp;C20&amp;" "&amp;D20&amp;"&amp;pplSearchOrigin=GLHD&amp;pageKey=fps_results"))</f>
        <v>http://www.linkedin.com/search/fpsearch?type=people&amp;keywords=Dirk Wendland Wendland Agrarhandel GmbH&amp;pplSearchOrigin=GLHD&amp;pageKey=fps_results</v>
      </c>
      <c r="N20" s="103" t="s">
        <v>179</v>
      </c>
    </row>
    <row r="21" customFormat="false" ht="22.5" hidden="false" customHeight="true" outlineLevel="0" collapsed="false">
      <c r="A21" s="101"/>
      <c r="B21" s="102" t="s">
        <v>98</v>
      </c>
      <c r="C21" s="103" t="s">
        <v>180</v>
      </c>
      <c r="D21" s="103" t="s">
        <v>181</v>
      </c>
      <c r="E21" s="104" t="str">
        <f aca="false">HYPERLINK("mailto:lea.kreativ@kreativkraft-agentur.de","lea.kreativ@kreativkraft-agentur.de")</f>
        <v>lea.kreativ@kreativkraft-agentur.de</v>
      </c>
      <c r="F21" s="103" t="s">
        <v>182</v>
      </c>
      <c r="G21" s="103" t="s">
        <v>48</v>
      </c>
      <c r="H21" s="105" t="s">
        <v>183</v>
      </c>
      <c r="I21" s="104" t="s">
        <v>184</v>
      </c>
      <c r="J21" s="103" t="s">
        <v>185</v>
      </c>
      <c r="K21" s="103" t="s">
        <v>186</v>
      </c>
      <c r="L21" s="103" t="n">
        <v>40210</v>
      </c>
      <c r="M21" s="106" t="str">
        <f aca="false">IF(D21="","-",HYPERLINK("http://www.linkedin.com/search/fpsearch?type=people&amp;keywords="&amp;C21&amp;" "&amp;D21&amp;"&amp;pplSearchOrigin=GLHD&amp;pageKey=fps_results"))</f>
        <v>http://www.linkedin.com/search/fpsearch?type=people&amp;keywords=Lea Kreativ Kreativkraft Werbeagentur GmbH&amp;pplSearchOrigin=GLHD&amp;pageKey=fps_results</v>
      </c>
      <c r="N21" s="103" t="s">
        <v>187</v>
      </c>
    </row>
    <row r="22" customFormat="false" ht="22.5" hidden="false" customHeight="true" outlineLevel="0" collapsed="false">
      <c r="A22" s="101"/>
      <c r="B22" s="102" t="s">
        <v>63</v>
      </c>
      <c r="C22" s="103" t="s">
        <v>188</v>
      </c>
      <c r="D22" s="103" t="s">
        <v>189</v>
      </c>
      <c r="E22" s="104" t="str">
        <f aca="false">HYPERLINK("mailto:simon.blau@blaupause-kommunikation.de","simon.blau@blaupause-kommunikation.de")</f>
        <v>simon.blau@blaupause-kommunikation.de</v>
      </c>
      <c r="F22" s="103" t="s">
        <v>115</v>
      </c>
      <c r="G22" s="103" t="s">
        <v>57</v>
      </c>
      <c r="H22" s="105" t="s">
        <v>190</v>
      </c>
      <c r="I22" s="104" t="s">
        <v>191</v>
      </c>
      <c r="J22" s="103" t="s">
        <v>192</v>
      </c>
      <c r="K22" s="103" t="s">
        <v>193</v>
      </c>
      <c r="L22" s="103" t="n">
        <v>90402</v>
      </c>
      <c r="M22" s="106" t="str">
        <f aca="false">IF(D22="","-",HYPERLINK("http://www.linkedin.com/search/fpsearch?type=people&amp;keywords="&amp;C22&amp;" "&amp;D22&amp;"&amp;pplSearchOrigin=GLHD&amp;pageKey=fps_results"))</f>
        <v>http://www.linkedin.com/search/fpsearch?type=people&amp;keywords=Simon Blau Blaupause Kommunikation GmbH&amp;pplSearchOrigin=GLHD&amp;pageKey=fps_results</v>
      </c>
      <c r="N22" s="103" t="s">
        <v>194</v>
      </c>
    </row>
    <row r="23" customFormat="false" ht="22.5" hidden="false" customHeight="true" outlineLevel="0" collapsed="false">
      <c r="A23" s="101"/>
      <c r="B23" s="102" t="s">
        <v>63</v>
      </c>
      <c r="C23" s="103" t="s">
        <v>195</v>
      </c>
      <c r="D23" s="103" t="s">
        <v>196</v>
      </c>
      <c r="E23" s="104" t="str">
        <f aca="false">HYPERLINK("mailto:nina.funke@funkeis-marken.de","nina.funke@funkeis-marken.de")</f>
        <v>nina.funke@funkeis-marken.de</v>
      </c>
      <c r="F23" s="103" t="s">
        <v>182</v>
      </c>
      <c r="G23" s="103" t="s">
        <v>57</v>
      </c>
      <c r="H23" s="105" t="s">
        <v>197</v>
      </c>
      <c r="I23" s="104" t="s">
        <v>198</v>
      </c>
      <c r="J23" s="103" t="s">
        <v>199</v>
      </c>
      <c r="K23" s="103" t="s">
        <v>134</v>
      </c>
      <c r="L23" s="103" t="n">
        <v>4105</v>
      </c>
      <c r="M23" s="106" t="str">
        <f aca="false">IF(D23="","-",HYPERLINK("http://www.linkedin.com/search/fpsearch?type=people&amp;keywords="&amp;C23&amp;" "&amp;D23&amp;"&amp;pplSearchOrigin=GLHD&amp;pageKey=fps_results"))</f>
        <v>http://www.linkedin.com/search/fpsearch?type=people&amp;keywords=Nina Funke Funkeis Markenagentur GmbH&amp;pplSearchOrigin=GLHD&amp;pageKey=fps_results</v>
      </c>
      <c r="N23" s="103" t="s">
        <v>200</v>
      </c>
    </row>
    <row r="24" customFormat="false" ht="22.5" hidden="false" customHeight="true" outlineLevel="0" collapsed="false">
      <c r="A24" s="101"/>
      <c r="B24" s="102" t="s">
        <v>98</v>
      </c>
      <c r="C24" s="103" t="s">
        <v>201</v>
      </c>
      <c r="D24" s="103" t="s">
        <v>202</v>
      </c>
      <c r="E24" s="104" t="str">
        <f aca="false">HYPERLINK("mailto:paul.aurelius@aurora-media-group.de","paul.aurelius@aurora-media-group.de")</f>
        <v>paul.aurelius@aurora-media-group.de</v>
      </c>
      <c r="F24" s="103" t="s">
        <v>56</v>
      </c>
      <c r="G24" s="103" t="s">
        <v>48</v>
      </c>
      <c r="H24" s="105" t="s">
        <v>203</v>
      </c>
      <c r="I24" s="104" t="s">
        <v>204</v>
      </c>
      <c r="J24" s="103" t="s">
        <v>205</v>
      </c>
      <c r="K24" s="103" t="s">
        <v>127</v>
      </c>
      <c r="L24" s="103" t="n">
        <v>50672</v>
      </c>
      <c r="M24" s="106" t="str">
        <f aca="false">IF(D24="","-",HYPERLINK("http://www.linkedin.com/search/fpsearch?type=people&amp;keywords="&amp;C24&amp;" "&amp;D24&amp;"&amp;pplSearchOrigin=GLHD&amp;pageKey=fps_results"))</f>
        <v>http://www.linkedin.com/search/fpsearch?type=people&amp;keywords=Paul Aurelius Aurora Media Group GmbH&amp;pplSearchOrigin=GLHD&amp;pageKey=fps_results</v>
      </c>
      <c r="N24" s="103" t="s">
        <v>206</v>
      </c>
    </row>
    <row r="25" customFormat="false" ht="22.5" hidden="false" customHeight="true" outlineLevel="0" collapsed="false">
      <c r="A25" s="101"/>
      <c r="B25" s="102" t="s">
        <v>25</v>
      </c>
      <c r="C25" s="103" t="s">
        <v>207</v>
      </c>
      <c r="D25" s="103" t="s">
        <v>208</v>
      </c>
      <c r="E25" s="104" t="str">
        <f aca="false">HYPERLINK("mailto:merle.nord@studio-nordlicht.de","merle.nord@studio-nordlicht.de")</f>
        <v>merle.nord@studio-nordlicht.de</v>
      </c>
      <c r="F25" s="103" t="s">
        <v>209</v>
      </c>
      <c r="G25" s="103" t="s">
        <v>57</v>
      </c>
      <c r="H25" s="105" t="s">
        <v>210</v>
      </c>
      <c r="I25" s="104" t="s">
        <v>211</v>
      </c>
      <c r="J25" s="103" t="s">
        <v>212</v>
      </c>
      <c r="K25" s="103" t="s">
        <v>213</v>
      </c>
      <c r="L25" s="103" t="n">
        <v>24103</v>
      </c>
      <c r="M25" s="106" t="str">
        <f aca="false">IF(D25="","-",HYPERLINK("http://www.linkedin.com/search/fpsearch?type=people&amp;keywords="&amp;C25&amp;" "&amp;D25&amp;"&amp;pplSearchOrigin=GLHD&amp;pageKey=fps_results"))</f>
        <v>http://www.linkedin.com/search/fpsearch?type=people&amp;keywords=Merle Nord Studio Nordlicht GmbH&amp;pplSearchOrigin=GLHD&amp;pageKey=fps_results</v>
      </c>
      <c r="N25" s="103" t="s">
        <v>214</v>
      </c>
    </row>
    <row r="26" customFormat="false" ht="22.5" hidden="false" customHeight="true" outlineLevel="0" collapsed="false">
      <c r="A26" s="101"/>
      <c r="B26" s="102" t="s">
        <v>26</v>
      </c>
      <c r="C26" s="103" t="s">
        <v>215</v>
      </c>
      <c r="D26" s="103" t="s">
        <v>55</v>
      </c>
      <c r="E26" s="104" t="str">
        <f aca="false">HYPERLINK("mailto:daniel.wagner@rehbach-foerdertechnik.de","daniel.wagner@rehbach-foerdertechnik.de")</f>
        <v>daniel.wagner@rehbach-foerdertechnik.de</v>
      </c>
      <c r="F26" s="103" t="s">
        <v>216</v>
      </c>
      <c r="G26" s="103" t="s">
        <v>57</v>
      </c>
      <c r="H26" s="105" t="s">
        <v>58</v>
      </c>
      <c r="I26" s="104" t="s">
        <v>59</v>
      </c>
      <c r="J26" s="103" t="s">
        <v>60</v>
      </c>
      <c r="K26" s="103" t="s">
        <v>61</v>
      </c>
      <c r="L26" s="103" t="n">
        <v>73728</v>
      </c>
      <c r="M26" s="106" t="str">
        <f aca="false">IF(D26="","-",HYPERLINK("http://www.linkedin.com/search/fpsearch?type=people&amp;keywords="&amp;C26&amp;" "&amp;D26&amp;"&amp;pplSearchOrigin=GLHD&amp;pageKey=fps_results"))</f>
        <v>http://www.linkedin.com/search/fpsearch?type=people&amp;keywords=Daniel Wagner Rehbach Fördertechnik GmbH&amp;pplSearchOrigin=GLHD&amp;pageKey=fps_results</v>
      </c>
      <c r="N26" s="103" t="s">
        <v>217</v>
      </c>
    </row>
    <row r="27" customFormat="false" ht="22.5" hidden="false" customHeight="true" outlineLevel="0" collapsed="false">
      <c r="A27" s="101"/>
      <c r="B27" s="102" t="s">
        <v>27</v>
      </c>
      <c r="C27" s="103" t="s">
        <v>218</v>
      </c>
      <c r="D27" s="103" t="s">
        <v>152</v>
      </c>
      <c r="E27" s="104" t="str">
        <f aca="false">HYPERLINK("mailto:melanie.gross@kaltenbach-baustoff.de","melanie.gross@kaltenbach-baustoff.de")</f>
        <v>melanie.gross@kaltenbach-baustoff.de</v>
      </c>
      <c r="F27" s="103" t="s">
        <v>219</v>
      </c>
      <c r="G27" s="103" t="s">
        <v>57</v>
      </c>
      <c r="H27" s="105" t="s">
        <v>153</v>
      </c>
      <c r="I27" s="104" t="s">
        <v>154</v>
      </c>
      <c r="J27" s="103" t="s">
        <v>155</v>
      </c>
      <c r="K27" s="103" t="s">
        <v>156</v>
      </c>
      <c r="L27" s="103" t="n">
        <v>68159</v>
      </c>
      <c r="M27" s="106" t="str">
        <f aca="false">IF(D27="","-",HYPERLINK("http://www.linkedin.com/search/fpsearch?type=people&amp;keywords="&amp;C27&amp;" "&amp;D27&amp;"&amp;pplSearchOrigin=GLHD&amp;pageKey=fps_results"))</f>
        <v>http://www.linkedin.com/search/fpsearch?type=people&amp;keywords=Melanie Groß Kaltenbach Baustoffhandel GmbH&amp;pplSearchOrigin=GLHD&amp;pageKey=fps_results</v>
      </c>
      <c r="N27" s="103" t="s">
        <v>220</v>
      </c>
    </row>
    <row r="28" customFormat="false" ht="22.5" hidden="false" customHeight="true" outlineLevel="0" collapsed="false">
      <c r="A28" s="101"/>
      <c r="B28" s="102" t="s">
        <v>98</v>
      </c>
      <c r="C28" s="103" t="s">
        <v>221</v>
      </c>
      <c r="D28" s="103" t="s">
        <v>159</v>
      </c>
      <c r="E28" s="104" t="str">
        <f aca="false">HYPERLINK("mailto:oliver.stein@nordfrost-getraenke.de","oliver.stein@nordfrost-getraenke.de")</f>
        <v>oliver.stein@nordfrost-getraenke.de</v>
      </c>
      <c r="F28" s="103" t="s">
        <v>222</v>
      </c>
      <c r="G28" s="103" t="s">
        <v>48</v>
      </c>
      <c r="H28" s="105" t="s">
        <v>160</v>
      </c>
      <c r="I28" s="104" t="s">
        <v>161</v>
      </c>
      <c r="J28" s="103" t="s">
        <v>162</v>
      </c>
      <c r="K28" s="103" t="s">
        <v>163</v>
      </c>
      <c r="L28" s="103" t="n">
        <v>28195</v>
      </c>
      <c r="M28" s="106" t="str">
        <f aca="false">IF(D28="","-",HYPERLINK("http://www.linkedin.com/search/fpsearch?type=people&amp;keywords="&amp;C28&amp;" "&amp;D28&amp;"&amp;pplSearchOrigin=GLHD&amp;pageKey=fps_results"))</f>
        <v>http://www.linkedin.com/search/fpsearch?type=people&amp;keywords=Oliver Stein Nordfrost Getränkehandel GmbH&amp;pplSearchOrigin=GLHD&amp;pageKey=fps_results</v>
      </c>
      <c r="N28" s="103" t="s">
        <v>223</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B3:B28"/>
  <dataValidations count="1">
    <dataValidation allowBlank="true" errorStyle="stop" operator="between" showDropDown="false" showErrorMessage="false" showInputMessage="false" sqref="G4:G28" type="list">
      <formula1>Rahmenbedingungen!$B$5:$B$11</formula1>
      <formula2>0</formula2>
    </dataValidation>
  </dataValidations>
  <hyperlinks>
    <hyperlink ref="I4" r:id="rId2" display="www.voss-antriebstechnik.de"/>
    <hyperlink ref="I5" r:id="rId3" display="www.rehbach-foerdertechnik.de"/>
    <hyperlink ref="I6" r:id="rId4" display="www.kessler-praezision.de"/>
    <hyperlink ref="I7" r:id="rId5" display="www.brenner-hydraulik.de"/>
    <hyperlink ref="I8" r:id="rId6" display="www.nordmeyer-maschinenbau.de"/>
    <hyperlink ref="I9" r:id="rId7" display="www.falkenrath-wzm.de"/>
    <hyperlink ref="I10" r:id="rId8" display="www.corvion-software.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19"/>
    <col collapsed="false" customWidth="true" hidden="false" outlineLevel="0" max="3" min="3" style="0" width="26.88"/>
    <col collapsed="false" customWidth="true" hidden="false" outlineLevel="0" max="4" min="4" style="0" width="19.25"/>
    <col collapsed="false" customWidth="true" hidden="false" outlineLevel="0" max="5" min="5" style="0" width="18.38"/>
    <col collapsed="false" customWidth="true" hidden="false" outlineLevel="0" max="6" min="6" style="0" width="17.38"/>
    <col collapsed="false" customWidth="true" hidden="false" outlineLevel="0" max="7" min="7" style="0" width="18.5"/>
    <col collapsed="false" customWidth="true" hidden="false" outlineLevel="0" max="8" min="8" style="0" width="34.25"/>
    <col collapsed="false" customWidth="true" hidden="false" outlineLevel="0" max="12" min="12" style="0" width="114.38"/>
    <col collapsed="false" customWidth="true" hidden="false" outlineLevel="0" max="13" min="13" style="0" width="13.38"/>
    <col collapsed="false" customWidth="true" hidden="false" outlineLevel="0" max="14" min="14" style="0" width="37.63"/>
    <col collapsed="false" customWidth="true" hidden="false" outlineLevel="0" max="15" min="15" style="0" width="3.88"/>
  </cols>
  <sheetData>
    <row r="1" customFormat="false" ht="51" hidden="false" customHeight="true" outlineLevel="0" collapsed="false">
      <c r="A1" s="94"/>
      <c r="B1" s="94"/>
      <c r="C1" s="30" t="s">
        <v>12</v>
      </c>
      <c r="D1" s="95" t="s">
        <v>31</v>
      </c>
      <c r="E1" s="117" t="s">
        <v>224</v>
      </c>
      <c r="F1" s="97"/>
      <c r="G1" s="97"/>
      <c r="H1" s="97"/>
      <c r="I1" s="97"/>
      <c r="J1" s="97"/>
      <c r="K1" s="97"/>
      <c r="L1" s="97"/>
      <c r="M1" s="97"/>
      <c r="N1" s="97"/>
      <c r="O1" s="31"/>
    </row>
    <row r="2" customFormat="false" ht="22.5" hidden="false" customHeight="true" outlineLevel="0" collapsed="false">
      <c r="A2" s="39"/>
      <c r="B2" s="39"/>
      <c r="C2" s="39"/>
      <c r="D2" s="39"/>
      <c r="E2" s="39"/>
      <c r="F2" s="39"/>
      <c r="G2" s="39"/>
      <c r="H2" s="39"/>
      <c r="I2" s="39"/>
      <c r="J2" s="39"/>
      <c r="K2" s="39"/>
      <c r="L2" s="39"/>
      <c r="M2" s="39"/>
      <c r="N2" s="84"/>
      <c r="O2" s="84"/>
    </row>
    <row r="3" customFormat="false" ht="22.5" hidden="false" customHeight="true" outlineLevel="0" collapsed="false">
      <c r="A3" s="39"/>
      <c r="B3" s="118" t="s">
        <v>33</v>
      </c>
      <c r="C3" s="99" t="s">
        <v>225</v>
      </c>
      <c r="D3" s="99" t="s">
        <v>37</v>
      </c>
      <c r="E3" s="99" t="s">
        <v>38</v>
      </c>
      <c r="F3" s="99" t="s">
        <v>226</v>
      </c>
      <c r="G3" s="99" t="s">
        <v>227</v>
      </c>
      <c r="H3" s="99" t="s">
        <v>40</v>
      </c>
      <c r="I3" s="99" t="s">
        <v>41</v>
      </c>
      <c r="J3" s="99" t="s">
        <v>42</v>
      </c>
      <c r="K3" s="99" t="s">
        <v>228</v>
      </c>
      <c r="L3" s="99" t="s">
        <v>43</v>
      </c>
      <c r="M3" s="99" t="s">
        <v>229</v>
      </c>
      <c r="N3" s="100" t="s">
        <v>44</v>
      </c>
      <c r="O3" s="84"/>
    </row>
    <row r="4" customFormat="false" ht="22.5" hidden="false" customHeight="true" outlineLevel="0" collapsed="false">
      <c r="A4" s="119"/>
      <c r="B4" s="120" t="s">
        <v>230</v>
      </c>
      <c r="C4" s="103" t="s">
        <v>46</v>
      </c>
      <c r="D4" s="103" t="s">
        <v>48</v>
      </c>
      <c r="E4" s="121" t="s">
        <v>49</v>
      </c>
      <c r="F4" s="121" t="s">
        <v>231</v>
      </c>
      <c r="G4" s="122" t="s">
        <v>50</v>
      </c>
      <c r="H4" s="121" t="s">
        <v>51</v>
      </c>
      <c r="I4" s="121" t="s">
        <v>52</v>
      </c>
      <c r="J4" s="103" t="n">
        <v>70173</v>
      </c>
      <c r="K4" s="121" t="s">
        <v>232</v>
      </c>
      <c r="L4" s="122" t="str">
        <f aca="false">IF(C4="","-",HYPERLINK("https://www.linkedin.com/vsearch/c?type=companies&amp;keywords="&amp;C4&amp;"&amp;orig=GLHD&amp;rsid=&amp;pageKey=biz-overview-internal&amp;trkInfo=&amp;search=Search"))</f>
        <v>https://www.linkedin.com/vsearch/c?type=companies&amp;keywords=Voss Antriebstechnik GmbH&amp;orig=GLHD&amp;rsid=&amp;pageKey=biz-overview-internal&amp;trkInfo=&amp;search=Search</v>
      </c>
      <c r="M4" s="121" t="s">
        <v>233</v>
      </c>
      <c r="N4" s="103" t="s">
        <v>234</v>
      </c>
      <c r="O4" s="84"/>
    </row>
    <row r="5" customFormat="false" ht="22.5" hidden="false" customHeight="true" outlineLevel="0" collapsed="false">
      <c r="A5" s="119"/>
      <c r="B5" s="120" t="s">
        <v>230</v>
      </c>
      <c r="C5" s="108" t="s">
        <v>55</v>
      </c>
      <c r="D5" s="103" t="s">
        <v>57</v>
      </c>
      <c r="E5" s="123" t="s">
        <v>58</v>
      </c>
      <c r="F5" s="123" t="s">
        <v>235</v>
      </c>
      <c r="G5" s="124" t="s">
        <v>59</v>
      </c>
      <c r="H5" s="123" t="s">
        <v>60</v>
      </c>
      <c r="I5" s="123" t="s">
        <v>61</v>
      </c>
      <c r="J5" s="125" t="n">
        <v>73728</v>
      </c>
      <c r="K5" s="123" t="s">
        <v>232</v>
      </c>
      <c r="L5" s="122" t="str">
        <f aca="false">IF(C5="","-",HYPERLINK("https://www.linkedin.com/vsearch/c?type=companies&amp;keywords="&amp;C5&amp;"&amp;orig=GLHD&amp;rsid=&amp;pageKey=biz-overview-internal&amp;trkInfo=&amp;search=Search"))</f>
        <v>https://www.linkedin.com/vsearch/c?type=companies&amp;keywords=Rehbach Fördertechnik GmbH&amp;orig=GLHD&amp;rsid=&amp;pageKey=biz-overview-internal&amp;trkInfo=&amp;search=Search</v>
      </c>
      <c r="M5" s="121" t="s">
        <v>236</v>
      </c>
      <c r="N5" s="103" t="s">
        <v>237</v>
      </c>
      <c r="O5" s="84"/>
    </row>
    <row r="6" customFormat="false" ht="22.5" hidden="false" customHeight="true" outlineLevel="0" collapsed="false">
      <c r="A6" s="119"/>
      <c r="B6" s="120" t="s">
        <v>230</v>
      </c>
      <c r="C6" s="110" t="s">
        <v>65</v>
      </c>
      <c r="D6" s="103" t="s">
        <v>57</v>
      </c>
      <c r="E6" s="123" t="s">
        <v>67</v>
      </c>
      <c r="F6" s="123" t="s">
        <v>238</v>
      </c>
      <c r="G6" s="124" t="s">
        <v>68</v>
      </c>
      <c r="H6" s="123" t="s">
        <v>69</v>
      </c>
      <c r="I6" s="123" t="s">
        <v>70</v>
      </c>
      <c r="J6" s="125" t="n">
        <v>72760</v>
      </c>
      <c r="K6" s="123" t="s">
        <v>232</v>
      </c>
      <c r="L6" s="122" t="str">
        <f aca="false">IF(C6="","-",HYPERLINK("https://www.linkedin.com/vsearch/c?type=companies&amp;keywords="&amp;C6&amp;"&amp;orig=GLHD&amp;rsid=&amp;pageKey=biz-overview-internal&amp;trkInfo=&amp;search=Search"))</f>
        <v>https://www.linkedin.com/vsearch/c?type=companies&amp;keywords=Kessler Präzisionswerk GmbH&amp;orig=GLHD&amp;rsid=&amp;pageKey=biz-overview-internal&amp;trkInfo=&amp;search=Search</v>
      </c>
      <c r="M6" s="121" t="s">
        <v>239</v>
      </c>
      <c r="N6" s="103" t="s">
        <v>240</v>
      </c>
      <c r="O6" s="84"/>
    </row>
    <row r="7" customFormat="false" ht="22.5" hidden="false" customHeight="true" outlineLevel="0" collapsed="false">
      <c r="A7" s="119"/>
      <c r="B7" s="120" t="s">
        <v>230</v>
      </c>
      <c r="C7" s="110" t="s">
        <v>74</v>
      </c>
      <c r="D7" s="103" t="s">
        <v>48</v>
      </c>
      <c r="E7" s="123" t="s">
        <v>76</v>
      </c>
      <c r="F7" s="123" t="s">
        <v>241</v>
      </c>
      <c r="G7" s="124" t="s">
        <v>77</v>
      </c>
      <c r="H7" s="123" t="s">
        <v>78</v>
      </c>
      <c r="I7" s="123" t="s">
        <v>79</v>
      </c>
      <c r="J7" s="125" t="n">
        <v>78048</v>
      </c>
      <c r="K7" s="123" t="s">
        <v>232</v>
      </c>
      <c r="L7" s="122" t="str">
        <f aca="false">IF(C7="","-",HYPERLINK("https://www.linkedin.com/vsearch/c?type=companies&amp;keywords="&amp;C7&amp;"&amp;orig=GLHD&amp;rsid=&amp;pageKey=biz-overview-internal&amp;trkInfo=&amp;search=Search"))</f>
        <v>https://www.linkedin.com/vsearch/c?type=companies&amp;keywords=Brenner Hydraulik AG&amp;orig=GLHD&amp;rsid=&amp;pageKey=biz-overview-internal&amp;trkInfo=&amp;search=Search</v>
      </c>
      <c r="M7" s="121" t="s">
        <v>233</v>
      </c>
      <c r="N7" s="103" t="s">
        <v>242</v>
      </c>
      <c r="O7" s="84"/>
    </row>
    <row r="8" customFormat="false" ht="22.5" hidden="false" customHeight="true" outlineLevel="0" collapsed="false">
      <c r="A8" s="119"/>
      <c r="B8" s="120" t="s">
        <v>230</v>
      </c>
      <c r="C8" s="110" t="s">
        <v>82</v>
      </c>
      <c r="D8" s="103" t="s">
        <v>57</v>
      </c>
      <c r="E8" s="123" t="s">
        <v>84</v>
      </c>
      <c r="F8" s="123" t="s">
        <v>243</v>
      </c>
      <c r="G8" s="124" t="s">
        <v>85</v>
      </c>
      <c r="H8" s="123" t="s">
        <v>86</v>
      </c>
      <c r="I8" s="123" t="s">
        <v>87</v>
      </c>
      <c r="J8" s="125" t="n">
        <v>33602</v>
      </c>
      <c r="K8" s="123" t="s">
        <v>232</v>
      </c>
      <c r="L8" s="122" t="str">
        <f aca="false">IF(C8="","-",HYPERLINK("https://www.linkedin.com/vsearch/c?type=companies&amp;keywords="&amp;C8&amp;"&amp;orig=GLHD&amp;rsid=&amp;pageKey=biz-overview-internal&amp;trkInfo=&amp;search=Search"))</f>
        <v>https://www.linkedin.com/vsearch/c?type=companies&amp;keywords=Nordmeyer Maschinenbau GmbH &amp; Co. KG&amp;orig=GLHD&amp;rsid=&amp;pageKey=biz-overview-internal&amp;trkInfo=&amp;search=Search</v>
      </c>
      <c r="M8" s="121" t="s">
        <v>236</v>
      </c>
      <c r="N8" s="103" t="s">
        <v>244</v>
      </c>
      <c r="O8" s="84"/>
    </row>
    <row r="9" customFormat="false" ht="22.5" hidden="false" customHeight="true" outlineLevel="0" collapsed="false">
      <c r="A9" s="119"/>
      <c r="B9" s="120" t="s">
        <v>230</v>
      </c>
      <c r="C9" s="110" t="s">
        <v>91</v>
      </c>
      <c r="D9" s="103" t="s">
        <v>92</v>
      </c>
      <c r="E9" s="123" t="s">
        <v>93</v>
      </c>
      <c r="F9" s="123" t="s">
        <v>245</v>
      </c>
      <c r="G9" s="124" t="s">
        <v>94</v>
      </c>
      <c r="H9" s="123" t="s">
        <v>95</v>
      </c>
      <c r="I9" s="123" t="s">
        <v>96</v>
      </c>
      <c r="J9" s="125" t="n">
        <v>9111</v>
      </c>
      <c r="K9" s="123" t="s">
        <v>232</v>
      </c>
      <c r="L9" s="122" t="str">
        <f aca="false">IF(C9="","-",HYPERLINK("https://www.linkedin.com/vsearch/c?type=companies&amp;keywords="&amp;C9&amp;"&amp;orig=GLHD&amp;rsid=&amp;pageKey=biz-overview-internal&amp;trkInfo=&amp;search=Search"))</f>
        <v>https://www.linkedin.com/vsearch/c?type=companies&amp;keywords=Falkenrath Werkzeugmaschinen GmbH&amp;orig=GLHD&amp;rsid=&amp;pageKey=biz-overview-internal&amp;trkInfo=&amp;search=Search</v>
      </c>
      <c r="M9" s="121" t="s">
        <v>246</v>
      </c>
      <c r="N9" s="103" t="s">
        <v>247</v>
      </c>
      <c r="O9" s="84"/>
    </row>
    <row r="10" customFormat="false" ht="22.5" hidden="false" customHeight="true" outlineLevel="0" collapsed="false">
      <c r="A10" s="119"/>
      <c r="B10" s="126" t="s">
        <v>248</v>
      </c>
      <c r="C10" s="113" t="s">
        <v>100</v>
      </c>
      <c r="D10" s="115" t="s">
        <v>48</v>
      </c>
      <c r="E10" s="127" t="s">
        <v>101</v>
      </c>
      <c r="F10" s="127" t="s">
        <v>249</v>
      </c>
      <c r="G10" s="128" t="s">
        <v>102</v>
      </c>
      <c r="H10" s="127" t="s">
        <v>103</v>
      </c>
      <c r="I10" s="127" t="s">
        <v>104</v>
      </c>
      <c r="J10" s="129" t="n">
        <v>10115</v>
      </c>
      <c r="K10" s="127" t="s">
        <v>232</v>
      </c>
      <c r="L10" s="122" t="str">
        <f aca="false">IF(C10="","-",HYPERLINK("https://www.linkedin.com/vsearch/c?type=companies&amp;keywords="&amp;C10&amp;"&amp;orig=GLHD&amp;rsid=&amp;pageKey=biz-overview-internal&amp;trkInfo=&amp;search=Search"))</f>
        <v>https://www.linkedin.com/vsearch/c?type=companies&amp;keywords=Corvion Software GmbH&amp;orig=GLHD&amp;rsid=&amp;pageKey=biz-overview-internal&amp;trkInfo=&amp;search=Search</v>
      </c>
      <c r="M10" s="116" t="s">
        <v>233</v>
      </c>
      <c r="N10" s="116" t="s">
        <v>250</v>
      </c>
      <c r="O10" s="39"/>
    </row>
    <row r="11" customFormat="false" ht="22.5" hidden="false" customHeight="true" outlineLevel="0" collapsed="false">
      <c r="A11" s="119"/>
      <c r="B11" s="120" t="s">
        <v>248</v>
      </c>
      <c r="C11" s="103" t="s">
        <v>107</v>
      </c>
      <c r="D11" s="103" t="s">
        <v>57</v>
      </c>
      <c r="E11" s="121" t="s">
        <v>108</v>
      </c>
      <c r="F11" s="121" t="s">
        <v>251</v>
      </c>
      <c r="G11" s="122" t="s">
        <v>109</v>
      </c>
      <c r="H11" s="121" t="s">
        <v>110</v>
      </c>
      <c r="I11" s="121" t="s">
        <v>111</v>
      </c>
      <c r="J11" s="103" t="n">
        <v>80331</v>
      </c>
      <c r="K11" s="121" t="s">
        <v>232</v>
      </c>
      <c r="L11" s="122" t="str">
        <f aca="false">IF(C11="","-",HYPERLINK("https://www.linkedin.com/vsearch/c?type=companies&amp;keywords="&amp;C11&amp;"&amp;orig=GLHD&amp;rsid=&amp;pageKey=biz-overview-internal&amp;trkInfo=&amp;search=Search"))</f>
        <v>https://www.linkedin.com/vsearch/c?type=companies&amp;keywords=Bittner IT-Solutions GmbH&amp;orig=GLHD&amp;rsid=&amp;pageKey=biz-overview-internal&amp;trkInfo=&amp;search=Search</v>
      </c>
      <c r="M11" s="121" t="s">
        <v>239</v>
      </c>
      <c r="N11" s="103" t="s">
        <v>252</v>
      </c>
      <c r="O11" s="33"/>
    </row>
    <row r="12" customFormat="false" ht="22.5" hidden="false" customHeight="true" outlineLevel="0" collapsed="false">
      <c r="A12" s="119"/>
      <c r="B12" s="120" t="s">
        <v>248</v>
      </c>
      <c r="C12" s="103" t="s">
        <v>114</v>
      </c>
      <c r="D12" s="103" t="s">
        <v>57</v>
      </c>
      <c r="E12" s="121" t="s">
        <v>116</v>
      </c>
      <c r="F12" s="121" t="s">
        <v>253</v>
      </c>
      <c r="G12" s="122" t="s">
        <v>117</v>
      </c>
      <c r="H12" s="121" t="s">
        <v>118</v>
      </c>
      <c r="I12" s="121" t="s">
        <v>119</v>
      </c>
      <c r="J12" s="103" t="n">
        <v>20095</v>
      </c>
      <c r="K12" s="121" t="s">
        <v>232</v>
      </c>
      <c r="L12" s="122" t="str">
        <f aca="false">IF(C12="","-",HYPERLINK("https://www.linkedin.com/vsearch/c?type=companies&amp;keywords="&amp;C12&amp;"&amp;orig=GLHD&amp;rsid=&amp;pageKey=biz-overview-internal&amp;trkInfo=&amp;search=Search"))</f>
        <v>https://www.linkedin.com/vsearch/c?type=companies&amp;keywords=Pixelwerk Digital GmbH&amp;orig=GLHD&amp;rsid=&amp;pageKey=biz-overview-internal&amp;trkInfo=&amp;search=Search</v>
      </c>
      <c r="M12" s="121" t="s">
        <v>236</v>
      </c>
      <c r="N12" s="103" t="s">
        <v>254</v>
      </c>
    </row>
    <row r="13" customFormat="false" ht="22.5" hidden="false" customHeight="true" outlineLevel="0" collapsed="false">
      <c r="A13" s="119"/>
      <c r="B13" s="120" t="s">
        <v>248</v>
      </c>
      <c r="C13" s="103" t="s">
        <v>122</v>
      </c>
      <c r="D13" s="103" t="s">
        <v>48</v>
      </c>
      <c r="E13" s="121" t="s">
        <v>124</v>
      </c>
      <c r="F13" s="121" t="s">
        <v>255</v>
      </c>
      <c r="G13" s="122" t="s">
        <v>125</v>
      </c>
      <c r="H13" s="121" t="s">
        <v>126</v>
      </c>
      <c r="I13" s="121" t="s">
        <v>127</v>
      </c>
      <c r="J13" s="103" t="n">
        <v>50667</v>
      </c>
      <c r="K13" s="121" t="s">
        <v>232</v>
      </c>
      <c r="L13" s="122" t="str">
        <f aca="false">IF(C13="","-",HYPERLINK("https://www.linkedin.com/vsearch/c?type=companies&amp;keywords="&amp;C13&amp;"&amp;orig=GLHD&amp;rsid=&amp;pageKey=biz-overview-internal&amp;trkInfo=&amp;search=Search"))</f>
        <v>https://www.linkedin.com/vsearch/c?type=companies&amp;keywords=Nexora Systems GmbH&amp;orig=GLHD&amp;rsid=&amp;pageKey=biz-overview-internal&amp;trkInfo=&amp;search=Search</v>
      </c>
      <c r="M13" s="121" t="s">
        <v>233</v>
      </c>
      <c r="N13" s="103" t="s">
        <v>256</v>
      </c>
    </row>
    <row r="14" customFormat="false" ht="22.5" hidden="false" customHeight="true" outlineLevel="0" collapsed="false">
      <c r="A14" s="119"/>
      <c r="B14" s="120" t="s">
        <v>248</v>
      </c>
      <c r="C14" s="103" t="s">
        <v>130</v>
      </c>
      <c r="D14" s="103" t="s">
        <v>57</v>
      </c>
      <c r="E14" s="121" t="s">
        <v>131</v>
      </c>
      <c r="F14" s="121" t="s">
        <v>257</v>
      </c>
      <c r="G14" s="122" t="s">
        <v>132</v>
      </c>
      <c r="H14" s="121" t="s">
        <v>133</v>
      </c>
      <c r="I14" s="121" t="s">
        <v>134</v>
      </c>
      <c r="J14" s="103" t="n">
        <v>4109</v>
      </c>
      <c r="K14" s="121" t="s">
        <v>232</v>
      </c>
      <c r="L14" s="122" t="str">
        <f aca="false">IF(C14="","-",HYPERLINK("https://www.linkedin.com/vsearch/c?type=companies&amp;keywords="&amp;C14&amp;"&amp;orig=GLHD&amp;rsid=&amp;pageKey=biz-overview-internal&amp;trkInfo=&amp;search=Search"))</f>
        <v>https://www.linkedin.com/vsearch/c?type=companies&amp;keywords=Vantis Cloud Services GmbH&amp;orig=GLHD&amp;rsid=&amp;pageKey=biz-overview-internal&amp;trkInfo=&amp;search=Search</v>
      </c>
      <c r="M14" s="121" t="s">
        <v>239</v>
      </c>
      <c r="N14" s="103" t="s">
        <v>258</v>
      </c>
    </row>
    <row r="15" customFormat="false" ht="22.5" hidden="false" customHeight="true" outlineLevel="0" collapsed="false">
      <c r="A15" s="119"/>
      <c r="B15" s="120" t="s">
        <v>248</v>
      </c>
      <c r="C15" s="103" t="s">
        <v>137</v>
      </c>
      <c r="D15" s="103" t="s">
        <v>57</v>
      </c>
      <c r="E15" s="121" t="s">
        <v>139</v>
      </c>
      <c r="F15" s="121" t="s">
        <v>259</v>
      </c>
      <c r="G15" s="122" t="s">
        <v>140</v>
      </c>
      <c r="H15" s="121" t="s">
        <v>141</v>
      </c>
      <c r="I15" s="121" t="s">
        <v>142</v>
      </c>
      <c r="J15" s="103" t="n">
        <v>60311</v>
      </c>
      <c r="K15" s="121" t="s">
        <v>232</v>
      </c>
      <c r="L15" s="122" t="str">
        <f aca="false">IF(C15="","-",HYPERLINK("https://www.linkedin.com/vsearch/c?type=companies&amp;keywords="&amp;C15&amp;"&amp;orig=GLHD&amp;rsid=&amp;pageKey=biz-overview-internal&amp;trkInfo=&amp;search=Search"))</f>
        <v>https://www.linkedin.com/vsearch/c?type=companies&amp;keywords=Dornbach IT Consulting GmbH&amp;orig=GLHD&amp;rsid=&amp;pageKey=biz-overview-internal&amp;trkInfo=&amp;search=Search</v>
      </c>
      <c r="M15" s="121" t="s">
        <v>236</v>
      </c>
      <c r="N15" s="103" t="s">
        <v>260</v>
      </c>
    </row>
    <row r="16" customFormat="false" ht="22.5" hidden="false" customHeight="true" outlineLevel="0" collapsed="false">
      <c r="A16" s="119"/>
      <c r="B16" s="120" t="s">
        <v>261</v>
      </c>
      <c r="C16" s="103" t="s">
        <v>145</v>
      </c>
      <c r="D16" s="103" t="s">
        <v>48</v>
      </c>
      <c r="E16" s="121" t="s">
        <v>146</v>
      </c>
      <c r="F16" s="121" t="s">
        <v>262</v>
      </c>
      <c r="G16" s="122" t="s">
        <v>147</v>
      </c>
      <c r="H16" s="121" t="s">
        <v>148</v>
      </c>
      <c r="I16" s="121" t="s">
        <v>149</v>
      </c>
      <c r="J16" s="103" t="n">
        <v>44135</v>
      </c>
      <c r="K16" s="121" t="s">
        <v>232</v>
      </c>
      <c r="L16" s="122" t="str">
        <f aca="false">IF(C16="","-",HYPERLINK("https://www.linkedin.com/vsearch/c?type=companies&amp;keywords="&amp;C16&amp;"&amp;orig=GLHD&amp;rsid=&amp;pageKey=biz-overview-internal&amp;trkInfo=&amp;search=Search"))</f>
        <v>https://www.linkedin.com/vsearch/c?type=companies&amp;keywords=Reimann Großhandel GmbH&amp;orig=GLHD&amp;rsid=&amp;pageKey=biz-overview-internal&amp;trkInfo=&amp;search=Search</v>
      </c>
      <c r="M16" s="121" t="s">
        <v>246</v>
      </c>
      <c r="N16" s="103" t="s">
        <v>263</v>
      </c>
    </row>
    <row r="17" customFormat="false" ht="22.5" hidden="false" customHeight="true" outlineLevel="0" collapsed="false">
      <c r="A17" s="119"/>
      <c r="B17" s="120" t="s">
        <v>261</v>
      </c>
      <c r="C17" s="103" t="s">
        <v>152</v>
      </c>
      <c r="D17" s="103" t="s">
        <v>57</v>
      </c>
      <c r="E17" s="121" t="s">
        <v>153</v>
      </c>
      <c r="F17" s="121" t="s">
        <v>264</v>
      </c>
      <c r="G17" s="122" t="s">
        <v>154</v>
      </c>
      <c r="H17" s="121" t="s">
        <v>155</v>
      </c>
      <c r="I17" s="121" t="s">
        <v>156</v>
      </c>
      <c r="J17" s="103" t="n">
        <v>68159</v>
      </c>
      <c r="K17" s="121" t="s">
        <v>232</v>
      </c>
      <c r="L17" s="122" t="str">
        <f aca="false">IF(C17="","-",HYPERLINK("https://www.linkedin.com/vsearch/c?type=companies&amp;keywords="&amp;C17&amp;"&amp;orig=GLHD&amp;rsid=&amp;pageKey=biz-overview-internal&amp;trkInfo=&amp;search=Search"))</f>
        <v>https://www.linkedin.com/vsearch/c?type=companies&amp;keywords=Kaltenbach Baustoffhandel GmbH&amp;orig=GLHD&amp;rsid=&amp;pageKey=biz-overview-internal&amp;trkInfo=&amp;search=Search</v>
      </c>
      <c r="M17" s="121" t="s">
        <v>233</v>
      </c>
      <c r="N17" s="103" t="s">
        <v>265</v>
      </c>
    </row>
    <row r="18" customFormat="false" ht="22.5" hidden="false" customHeight="true" outlineLevel="0" collapsed="false">
      <c r="A18" s="119"/>
      <c r="B18" s="120" t="s">
        <v>261</v>
      </c>
      <c r="C18" s="103" t="s">
        <v>159</v>
      </c>
      <c r="D18" s="103" t="s">
        <v>48</v>
      </c>
      <c r="E18" s="121" t="s">
        <v>160</v>
      </c>
      <c r="F18" s="121" t="s">
        <v>266</v>
      </c>
      <c r="G18" s="122" t="s">
        <v>161</v>
      </c>
      <c r="H18" s="121" t="s">
        <v>162</v>
      </c>
      <c r="I18" s="121" t="s">
        <v>163</v>
      </c>
      <c r="J18" s="103" t="n">
        <v>28195</v>
      </c>
      <c r="K18" s="121" t="s">
        <v>232</v>
      </c>
      <c r="L18" s="122" t="str">
        <f aca="false">IF(C18="","-",HYPERLINK("https://www.linkedin.com/vsearch/c?type=companies&amp;keywords="&amp;C18&amp;"&amp;orig=GLHD&amp;rsid=&amp;pageKey=biz-overview-internal&amp;trkInfo=&amp;search=Search"))</f>
        <v>https://www.linkedin.com/vsearch/c?type=companies&amp;keywords=Nordfrost Getränkehandel GmbH&amp;orig=GLHD&amp;rsid=&amp;pageKey=biz-overview-internal&amp;trkInfo=&amp;search=Search</v>
      </c>
      <c r="M18" s="121" t="s">
        <v>236</v>
      </c>
      <c r="N18" s="103" t="s">
        <v>267</v>
      </c>
    </row>
    <row r="19" customFormat="false" ht="22.5" hidden="false" customHeight="true" outlineLevel="0" collapsed="false">
      <c r="A19" s="119"/>
      <c r="B19" s="120" t="s">
        <v>261</v>
      </c>
      <c r="C19" s="103" t="s">
        <v>166</v>
      </c>
      <c r="D19" s="103" t="s">
        <v>57</v>
      </c>
      <c r="E19" s="121" t="s">
        <v>168</v>
      </c>
      <c r="F19" s="121" t="s">
        <v>268</v>
      </c>
      <c r="G19" s="122" t="s">
        <v>169</v>
      </c>
      <c r="H19" s="121" t="s">
        <v>170</v>
      </c>
      <c r="I19" s="121" t="s">
        <v>171</v>
      </c>
      <c r="J19" s="103" t="n">
        <v>30159</v>
      </c>
      <c r="K19" s="121" t="s">
        <v>232</v>
      </c>
      <c r="L19" s="122" t="str">
        <f aca="false">IF(C19="","-",HYPERLINK("https://www.linkedin.com/vsearch/c?type=companies&amp;keywords="&amp;C19&amp;"&amp;orig=GLHD&amp;rsid=&amp;pageKey=biz-overview-internal&amp;trkInfo=&amp;search=Search"))</f>
        <v>https://www.linkedin.com/vsearch/c?type=companies&amp;keywords=Ostmann Elektrogroßhandel GmbH&amp;orig=GLHD&amp;rsid=&amp;pageKey=biz-overview-internal&amp;trkInfo=&amp;search=Search</v>
      </c>
      <c r="M19" s="121" t="s">
        <v>239</v>
      </c>
      <c r="N19" s="103" t="s">
        <v>269</v>
      </c>
    </row>
    <row r="20" customFormat="false" ht="22.5" hidden="false" customHeight="true" outlineLevel="0" collapsed="false">
      <c r="A20" s="119"/>
      <c r="B20" s="120" t="s">
        <v>261</v>
      </c>
      <c r="C20" s="103" t="s">
        <v>174</v>
      </c>
      <c r="D20" s="103" t="s">
        <v>92</v>
      </c>
      <c r="E20" s="121" t="s">
        <v>175</v>
      </c>
      <c r="F20" s="121" t="s">
        <v>270</v>
      </c>
      <c r="G20" s="122" t="s">
        <v>176</v>
      </c>
      <c r="H20" s="121" t="s">
        <v>177</v>
      </c>
      <c r="I20" s="121" t="s">
        <v>178</v>
      </c>
      <c r="J20" s="103" t="n">
        <v>39104</v>
      </c>
      <c r="K20" s="121" t="s">
        <v>232</v>
      </c>
      <c r="L20" s="122" t="str">
        <f aca="false">IF(C20="","-",HYPERLINK("https://www.linkedin.com/vsearch/c?type=companies&amp;keywords="&amp;C20&amp;"&amp;orig=GLHD&amp;rsid=&amp;pageKey=biz-overview-internal&amp;trkInfo=&amp;search=Search"))</f>
        <v>https://www.linkedin.com/vsearch/c?type=companies&amp;keywords=Wendland Agrarhandel GmbH&amp;orig=GLHD&amp;rsid=&amp;pageKey=biz-overview-internal&amp;trkInfo=&amp;search=Search</v>
      </c>
      <c r="M20" s="121" t="s">
        <v>246</v>
      </c>
      <c r="N20" s="103" t="s">
        <v>271</v>
      </c>
    </row>
    <row r="21" customFormat="false" ht="22.5" hidden="false" customHeight="true" outlineLevel="0" collapsed="false">
      <c r="A21" s="119"/>
      <c r="B21" s="120" t="s">
        <v>272</v>
      </c>
      <c r="C21" s="103" t="s">
        <v>181</v>
      </c>
      <c r="D21" s="103" t="s">
        <v>48</v>
      </c>
      <c r="E21" s="121" t="s">
        <v>183</v>
      </c>
      <c r="F21" s="121" t="s">
        <v>273</v>
      </c>
      <c r="G21" s="122" t="s">
        <v>184</v>
      </c>
      <c r="H21" s="121" t="s">
        <v>185</v>
      </c>
      <c r="I21" s="121" t="s">
        <v>186</v>
      </c>
      <c r="J21" s="103" t="n">
        <v>40210</v>
      </c>
      <c r="K21" s="121" t="s">
        <v>232</v>
      </c>
      <c r="L21" s="122" t="str">
        <f aca="false">IF(C21="","-",HYPERLINK("https://www.linkedin.com/vsearch/c?type=companies&amp;keywords="&amp;C21&amp;"&amp;orig=GLHD&amp;rsid=&amp;pageKey=biz-overview-internal&amp;trkInfo=&amp;search=Search"))</f>
        <v>https://www.linkedin.com/vsearch/c?type=companies&amp;keywords=Kreativkraft Werbeagentur GmbH&amp;orig=GLHD&amp;rsid=&amp;pageKey=biz-overview-internal&amp;trkInfo=&amp;search=Search</v>
      </c>
      <c r="M21" s="121" t="s">
        <v>236</v>
      </c>
      <c r="N21" s="103" t="s">
        <v>274</v>
      </c>
    </row>
    <row r="22" customFormat="false" ht="22.5" hidden="false" customHeight="true" outlineLevel="0" collapsed="false">
      <c r="A22" s="119"/>
      <c r="B22" s="120" t="s">
        <v>272</v>
      </c>
      <c r="C22" s="103" t="s">
        <v>189</v>
      </c>
      <c r="D22" s="103" t="s">
        <v>57</v>
      </c>
      <c r="E22" s="121" t="s">
        <v>190</v>
      </c>
      <c r="F22" s="121" t="s">
        <v>275</v>
      </c>
      <c r="G22" s="122" t="s">
        <v>191</v>
      </c>
      <c r="H22" s="121" t="s">
        <v>192</v>
      </c>
      <c r="I22" s="121" t="s">
        <v>193</v>
      </c>
      <c r="J22" s="103" t="n">
        <v>90402</v>
      </c>
      <c r="K22" s="121" t="s">
        <v>232</v>
      </c>
      <c r="L22" s="122" t="str">
        <f aca="false">IF(C22="","-",HYPERLINK("https://www.linkedin.com/vsearch/c?type=companies&amp;keywords="&amp;C22&amp;"&amp;orig=GLHD&amp;rsid=&amp;pageKey=biz-overview-internal&amp;trkInfo=&amp;search=Search"))</f>
        <v>https://www.linkedin.com/vsearch/c?type=companies&amp;keywords=Blaupause Kommunikation GmbH&amp;orig=GLHD&amp;rsid=&amp;pageKey=biz-overview-internal&amp;trkInfo=&amp;search=Search</v>
      </c>
      <c r="M22" s="121" t="s">
        <v>239</v>
      </c>
      <c r="N22" s="103" t="s">
        <v>276</v>
      </c>
    </row>
    <row r="23" customFormat="false" ht="22.5" hidden="false" customHeight="true" outlineLevel="0" collapsed="false">
      <c r="A23" s="119"/>
      <c r="B23" s="120" t="s">
        <v>272</v>
      </c>
      <c r="C23" s="103" t="s">
        <v>196</v>
      </c>
      <c r="D23" s="103" t="s">
        <v>57</v>
      </c>
      <c r="E23" s="121" t="s">
        <v>197</v>
      </c>
      <c r="F23" s="121" t="s">
        <v>277</v>
      </c>
      <c r="G23" s="122" t="s">
        <v>198</v>
      </c>
      <c r="H23" s="121" t="s">
        <v>199</v>
      </c>
      <c r="I23" s="121" t="s">
        <v>134</v>
      </c>
      <c r="J23" s="103" t="n">
        <v>4105</v>
      </c>
      <c r="K23" s="121" t="s">
        <v>232</v>
      </c>
      <c r="L23" s="122" t="str">
        <f aca="false">IF(C23="","-",HYPERLINK("https://www.linkedin.com/vsearch/c?type=companies&amp;keywords="&amp;C23&amp;"&amp;orig=GLHD&amp;rsid=&amp;pageKey=biz-overview-internal&amp;trkInfo=&amp;search=Search"))</f>
        <v>https://www.linkedin.com/vsearch/c?type=companies&amp;keywords=Funkeis Markenagentur GmbH&amp;orig=GLHD&amp;rsid=&amp;pageKey=biz-overview-internal&amp;trkInfo=&amp;search=Search</v>
      </c>
      <c r="M23" s="121" t="s">
        <v>233</v>
      </c>
      <c r="N23" s="103" t="s">
        <v>278</v>
      </c>
    </row>
    <row r="24" customFormat="false" ht="22.5" hidden="false" customHeight="true" outlineLevel="0" collapsed="false">
      <c r="A24" s="119"/>
      <c r="B24" s="120" t="s">
        <v>272</v>
      </c>
      <c r="C24" s="103" t="s">
        <v>202</v>
      </c>
      <c r="D24" s="103" t="s">
        <v>48</v>
      </c>
      <c r="E24" s="121" t="s">
        <v>203</v>
      </c>
      <c r="F24" s="121" t="s">
        <v>279</v>
      </c>
      <c r="G24" s="122" t="s">
        <v>204</v>
      </c>
      <c r="H24" s="121" t="s">
        <v>205</v>
      </c>
      <c r="I24" s="121" t="s">
        <v>127</v>
      </c>
      <c r="J24" s="103" t="n">
        <v>50672</v>
      </c>
      <c r="K24" s="121" t="s">
        <v>232</v>
      </c>
      <c r="L24" s="122" t="str">
        <f aca="false">IF(C24="","-",HYPERLINK("https://www.linkedin.com/vsearch/c?type=companies&amp;keywords="&amp;C24&amp;"&amp;orig=GLHD&amp;rsid=&amp;pageKey=biz-overview-internal&amp;trkInfo=&amp;search=Search"))</f>
        <v>https://www.linkedin.com/vsearch/c?type=companies&amp;keywords=Aurora Media Group GmbH&amp;orig=GLHD&amp;rsid=&amp;pageKey=biz-overview-internal&amp;trkInfo=&amp;search=Search</v>
      </c>
      <c r="M24" s="121" t="s">
        <v>246</v>
      </c>
      <c r="N24" s="103" t="s">
        <v>280</v>
      </c>
    </row>
    <row r="25" customFormat="false" ht="22.5" hidden="false" customHeight="true" outlineLevel="0" collapsed="false">
      <c r="A25" s="119"/>
      <c r="B25" s="120" t="s">
        <v>272</v>
      </c>
      <c r="C25" s="103" t="s">
        <v>208</v>
      </c>
      <c r="D25" s="103" t="s">
        <v>57</v>
      </c>
      <c r="E25" s="121" t="s">
        <v>210</v>
      </c>
      <c r="F25" s="121" t="s">
        <v>281</v>
      </c>
      <c r="G25" s="122" t="s">
        <v>211</v>
      </c>
      <c r="H25" s="121" t="s">
        <v>212</v>
      </c>
      <c r="I25" s="121" t="s">
        <v>213</v>
      </c>
      <c r="J25" s="103" t="n">
        <v>24103</v>
      </c>
      <c r="K25" s="121" t="s">
        <v>232</v>
      </c>
      <c r="L25" s="122" t="str">
        <f aca="false">IF(C25="","-",HYPERLINK("https://www.linkedin.com/vsearch/c?type=companies&amp;keywords="&amp;C25&amp;"&amp;orig=GLHD&amp;rsid=&amp;pageKey=biz-overview-internal&amp;trkInfo=&amp;search=Search"))</f>
        <v>https://www.linkedin.com/vsearch/c?type=companies&amp;keywords=Studio Nordlicht GmbH&amp;orig=GLHD&amp;rsid=&amp;pageKey=biz-overview-internal&amp;trkInfo=&amp;search=Search</v>
      </c>
      <c r="M25" s="121" t="s">
        <v>236</v>
      </c>
      <c r="N25" s="103" t="s">
        <v>282</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B3:B25"/>
  <dataValidations count="1">
    <dataValidation allowBlank="true" errorStyle="stop" operator="between" showDropDown="false" showErrorMessage="false" showInputMessage="false" sqref="D4:D25" type="list">
      <formula1>Rahmenbedingungen!$B$5:$B$11</formula1>
      <formula2>0</formula2>
    </dataValidation>
  </dataValidations>
  <hyperlinks>
    <hyperlink ref="G4" r:id="rId1" display="www.voss-antriebstechnik.de"/>
    <hyperlink ref="G5" r:id="rId2" display="www.rehbach-foerdertechnik.de"/>
    <hyperlink ref="G6" r:id="rId3" display="www.kessler-praezision.de"/>
    <hyperlink ref="G7" r:id="rId4" display="www.brenner-hydraulik.de"/>
    <hyperlink ref="G8" r:id="rId5" display="www.nordmeyer-maschinenbau.de"/>
    <hyperlink ref="G9" r:id="rId6" display="www.falkenrath-wzm.de"/>
    <hyperlink ref="G10" r:id="rId7" display="www.corvion-software.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19"/>
    <col collapsed="false" customWidth="true" hidden="false" outlineLevel="0" max="3" min="3" style="0" width="26.88"/>
    <col collapsed="false" customWidth="true" hidden="false" outlineLevel="0" max="4" min="4" style="0" width="19.25"/>
    <col collapsed="false" customWidth="true" hidden="false" outlineLevel="0" max="5" min="5" style="0" width="16.12"/>
    <col collapsed="false" customWidth="true" hidden="false" outlineLevel="0" max="7" min="7" style="0" width="17.38"/>
    <col collapsed="false" customWidth="true" hidden="false" outlineLevel="0" max="8" min="8" style="0" width="13.88"/>
    <col collapsed="false" customWidth="true" hidden="false" outlineLevel="0" max="10" min="10" style="0" width="19.75"/>
    <col collapsed="false" customWidth="true" hidden="false" outlineLevel="0" max="12" min="12" style="0" width="20.75"/>
    <col collapsed="false" customWidth="true" hidden="false" outlineLevel="0" max="13" min="13" style="0" width="37.63"/>
    <col collapsed="false" customWidth="true" hidden="false" outlineLevel="0" max="15" min="14" style="0" width="12"/>
    <col collapsed="false" customWidth="true" hidden="false" outlineLevel="0" max="16" min="16" style="0" width="16"/>
  </cols>
  <sheetData>
    <row r="1" customFormat="false" ht="51" hidden="false" customHeight="true" outlineLevel="0" collapsed="false">
      <c r="A1" s="94"/>
      <c r="B1" s="94"/>
      <c r="C1" s="30" t="s">
        <v>14</v>
      </c>
      <c r="D1" s="95" t="s">
        <v>31</v>
      </c>
      <c r="E1" s="117" t="s">
        <v>283</v>
      </c>
      <c r="F1" s="97"/>
      <c r="G1" s="97"/>
      <c r="H1" s="97"/>
      <c r="I1" s="97"/>
      <c r="J1" s="97"/>
      <c r="K1" s="97"/>
      <c r="L1" s="97"/>
      <c r="M1" s="97"/>
      <c r="N1" s="97"/>
      <c r="O1" s="31"/>
    </row>
    <row r="2" customFormat="false" ht="22.5" hidden="false" customHeight="true" outlineLevel="0" collapsed="false">
      <c r="A2" s="54"/>
      <c r="B2" s="54"/>
      <c r="C2" s="54"/>
      <c r="D2" s="54"/>
      <c r="E2" s="54"/>
      <c r="F2" s="54"/>
      <c r="G2" s="54"/>
      <c r="H2" s="54"/>
      <c r="I2" s="54"/>
      <c r="J2" s="54"/>
      <c r="K2" s="54"/>
      <c r="L2" s="54"/>
      <c r="M2" s="84"/>
      <c r="N2" s="84"/>
      <c r="O2" s="84"/>
    </row>
    <row r="3" customFormat="false" ht="22.5" hidden="false" customHeight="true" outlineLevel="0" collapsed="false">
      <c r="A3" s="54"/>
      <c r="B3" s="118" t="s">
        <v>33</v>
      </c>
      <c r="C3" s="130" t="s">
        <v>34</v>
      </c>
      <c r="D3" s="130" t="s">
        <v>12</v>
      </c>
      <c r="E3" s="130" t="s">
        <v>22</v>
      </c>
      <c r="F3" s="131" t="s">
        <v>284</v>
      </c>
      <c r="G3" s="131" t="s">
        <v>285</v>
      </c>
      <c r="H3" s="131" t="s">
        <v>286</v>
      </c>
      <c r="I3" s="130" t="s">
        <v>287</v>
      </c>
      <c r="J3" s="130" t="s">
        <v>288</v>
      </c>
      <c r="K3" s="130" t="s">
        <v>289</v>
      </c>
      <c r="L3" s="130" t="s">
        <v>290</v>
      </c>
      <c r="M3" s="132" t="s">
        <v>44</v>
      </c>
      <c r="N3" s="133" t="s">
        <v>291</v>
      </c>
      <c r="O3" s="133" t="s">
        <v>292</v>
      </c>
      <c r="P3" s="133" t="s">
        <v>293</v>
      </c>
    </row>
    <row r="4" customFormat="false" ht="22.5" hidden="false" customHeight="true" outlineLevel="0" collapsed="false">
      <c r="A4" s="119"/>
      <c r="B4" s="120" t="s">
        <v>98</v>
      </c>
      <c r="C4" s="123" t="s">
        <v>294</v>
      </c>
      <c r="D4" s="103" t="s">
        <v>46</v>
      </c>
      <c r="E4" s="125" t="s">
        <v>24</v>
      </c>
      <c r="F4" s="134" t="n">
        <f aca="false">O4*P4*12</f>
        <v>21360</v>
      </c>
      <c r="G4" s="135" t="n">
        <v>46037</v>
      </c>
      <c r="H4" s="136" t="n">
        <v>1</v>
      </c>
      <c r="I4" s="125" t="s">
        <v>295</v>
      </c>
      <c r="J4" s="125" t="s">
        <v>296</v>
      </c>
      <c r="K4" s="123" t="s">
        <v>297</v>
      </c>
      <c r="L4" s="125" t="s">
        <v>298</v>
      </c>
      <c r="M4" s="103" t="s">
        <v>299</v>
      </c>
      <c r="N4" s="137" t="s">
        <v>300</v>
      </c>
      <c r="O4" s="138" t="n">
        <v>20</v>
      </c>
      <c r="P4" s="139" t="n">
        <v>89</v>
      </c>
    </row>
    <row r="5" customFormat="false" ht="22.5" hidden="false" customHeight="true" outlineLevel="0" collapsed="false">
      <c r="A5" s="119"/>
      <c r="B5" s="120" t="s">
        <v>301</v>
      </c>
      <c r="C5" s="121" t="s">
        <v>302</v>
      </c>
      <c r="D5" s="110" t="s">
        <v>55</v>
      </c>
      <c r="E5" s="103" t="s">
        <v>26</v>
      </c>
      <c r="F5" s="140" t="n">
        <f aca="false">O5*P5*12</f>
        <v>12816</v>
      </c>
      <c r="G5" s="141" t="n">
        <v>46275</v>
      </c>
      <c r="H5" s="142" t="n">
        <v>0.55</v>
      </c>
      <c r="I5" s="103" t="s">
        <v>303</v>
      </c>
      <c r="J5" s="103" t="s">
        <v>296</v>
      </c>
      <c r="K5" s="121" t="s">
        <v>297</v>
      </c>
      <c r="L5" s="103" t="s">
        <v>304</v>
      </c>
      <c r="M5" s="103" t="s">
        <v>305</v>
      </c>
      <c r="N5" s="137" t="s">
        <v>300</v>
      </c>
      <c r="O5" s="138" t="n">
        <v>12</v>
      </c>
      <c r="P5" s="139" t="n">
        <v>89</v>
      </c>
    </row>
    <row r="6" customFormat="false" ht="22.5" hidden="false" customHeight="true" outlineLevel="0" collapsed="false">
      <c r="A6" s="119"/>
      <c r="B6" s="120" t="s">
        <v>301</v>
      </c>
      <c r="C6" s="121" t="s">
        <v>306</v>
      </c>
      <c r="D6" s="110" t="s">
        <v>65</v>
      </c>
      <c r="E6" s="103" t="s">
        <v>25</v>
      </c>
      <c r="F6" s="140" t="n">
        <f aca="false">O6*P6*12</f>
        <v>3528</v>
      </c>
      <c r="G6" s="141" t="n">
        <v>46296</v>
      </c>
      <c r="H6" s="142" t="n">
        <v>0.35</v>
      </c>
      <c r="I6" s="103" t="s">
        <v>303</v>
      </c>
      <c r="J6" s="103" t="s">
        <v>296</v>
      </c>
      <c r="K6" s="121" t="s">
        <v>307</v>
      </c>
      <c r="L6" s="103" t="s">
        <v>308</v>
      </c>
      <c r="M6" s="103" t="s">
        <v>309</v>
      </c>
      <c r="N6" s="137" t="s">
        <v>310</v>
      </c>
      <c r="O6" s="138" t="n">
        <v>6</v>
      </c>
      <c r="P6" s="139" t="n">
        <v>49</v>
      </c>
    </row>
    <row r="7" customFormat="false" ht="22.5" hidden="false" customHeight="true" outlineLevel="0" collapsed="false">
      <c r="A7" s="119"/>
      <c r="B7" s="120" t="s">
        <v>72</v>
      </c>
      <c r="C7" s="121" t="s">
        <v>311</v>
      </c>
      <c r="D7" s="110" t="s">
        <v>74</v>
      </c>
      <c r="E7" s="103" t="s">
        <v>27</v>
      </c>
      <c r="F7" s="140" t="n">
        <f aca="false">O7*P7*12</f>
        <v>8544</v>
      </c>
      <c r="G7" s="141" t="n">
        <v>46254</v>
      </c>
      <c r="H7" s="142" t="n">
        <v>0.7</v>
      </c>
      <c r="I7" s="103" t="s">
        <v>303</v>
      </c>
      <c r="J7" s="103" t="s">
        <v>296</v>
      </c>
      <c r="K7" s="121" t="s">
        <v>297</v>
      </c>
      <c r="L7" s="103" t="s">
        <v>298</v>
      </c>
      <c r="M7" s="103" t="s">
        <v>312</v>
      </c>
      <c r="N7" s="137" t="s">
        <v>300</v>
      </c>
      <c r="O7" s="138" t="n">
        <v>8</v>
      </c>
      <c r="P7" s="139" t="n">
        <v>89</v>
      </c>
    </row>
    <row r="8" customFormat="false" ht="22.5" hidden="false" customHeight="true" outlineLevel="0" collapsed="false">
      <c r="A8" s="119"/>
      <c r="B8" s="120" t="s">
        <v>301</v>
      </c>
      <c r="C8" s="121" t="s">
        <v>313</v>
      </c>
      <c r="D8" s="110" t="s">
        <v>82</v>
      </c>
      <c r="E8" s="103" t="s">
        <v>26</v>
      </c>
      <c r="F8" s="140" t="n">
        <f aca="false">O8*P8*12</f>
        <v>11748</v>
      </c>
      <c r="G8" s="141" t="n">
        <v>46295</v>
      </c>
      <c r="H8" s="142" t="n">
        <v>0.5</v>
      </c>
      <c r="I8" s="103" t="s">
        <v>303</v>
      </c>
      <c r="J8" s="103" t="s">
        <v>296</v>
      </c>
      <c r="K8" s="121" t="s">
        <v>307</v>
      </c>
      <c r="L8" s="103" t="s">
        <v>304</v>
      </c>
      <c r="M8" s="103" t="s">
        <v>314</v>
      </c>
      <c r="N8" s="137" t="s">
        <v>300</v>
      </c>
      <c r="O8" s="138" t="n">
        <v>11</v>
      </c>
      <c r="P8" s="139" t="n">
        <v>89</v>
      </c>
    </row>
    <row r="9" customFormat="false" ht="22.5" hidden="false" customHeight="true" outlineLevel="0" collapsed="false">
      <c r="A9" s="119"/>
      <c r="B9" s="120" t="s">
        <v>315</v>
      </c>
      <c r="C9" s="121" t="s">
        <v>316</v>
      </c>
      <c r="D9" s="110" t="s">
        <v>91</v>
      </c>
      <c r="E9" s="103" t="s">
        <v>25</v>
      </c>
      <c r="F9" s="140" t="n">
        <f aca="false">O9*P9*12</f>
        <v>0</v>
      </c>
      <c r="G9" s="141" t="n">
        <v>46327</v>
      </c>
      <c r="H9" s="142" t="n">
        <v>0.2</v>
      </c>
      <c r="I9" s="103" t="s">
        <v>303</v>
      </c>
      <c r="J9" s="103" t="s">
        <v>296</v>
      </c>
      <c r="K9" s="121" t="s">
        <v>317</v>
      </c>
      <c r="L9" s="103" t="s">
        <v>298</v>
      </c>
      <c r="M9" s="103" t="s">
        <v>318</v>
      </c>
      <c r="N9" s="137" t="s">
        <v>319</v>
      </c>
      <c r="O9" s="138" t="n">
        <v>0</v>
      </c>
      <c r="P9" s="139" t="n">
        <v>0</v>
      </c>
    </row>
    <row r="10" customFormat="false" ht="22.5" hidden="false" customHeight="true" outlineLevel="0" collapsed="false">
      <c r="A10" s="119"/>
      <c r="B10" s="120" t="s">
        <v>98</v>
      </c>
      <c r="C10" s="121" t="s">
        <v>320</v>
      </c>
      <c r="D10" s="113" t="s">
        <v>100</v>
      </c>
      <c r="E10" s="103" t="s">
        <v>24</v>
      </c>
      <c r="F10" s="140" t="n">
        <f aca="false">O10*P10*12</f>
        <v>10680</v>
      </c>
      <c r="G10" s="141" t="n">
        <v>46054</v>
      </c>
      <c r="H10" s="142" t="n">
        <v>1</v>
      </c>
      <c r="I10" s="103" t="s">
        <v>295</v>
      </c>
      <c r="J10" s="103" t="s">
        <v>296</v>
      </c>
      <c r="K10" s="121" t="s">
        <v>297</v>
      </c>
      <c r="L10" s="103" t="s">
        <v>298</v>
      </c>
      <c r="M10" s="116" t="s">
        <v>321</v>
      </c>
      <c r="N10" s="137" t="s">
        <v>300</v>
      </c>
      <c r="O10" s="143" t="n">
        <v>10</v>
      </c>
      <c r="P10" s="139" t="n">
        <v>89</v>
      </c>
    </row>
    <row r="11" customFormat="false" ht="22.5" hidden="false" customHeight="true" outlineLevel="0" collapsed="false">
      <c r="A11" s="119"/>
      <c r="B11" s="144" t="s">
        <v>301</v>
      </c>
      <c r="C11" s="116" t="s">
        <v>322</v>
      </c>
      <c r="D11" s="108" t="s">
        <v>107</v>
      </c>
      <c r="E11" s="116" t="s">
        <v>27</v>
      </c>
      <c r="F11" s="145" t="n">
        <f aca="false">O11*P11*12</f>
        <v>13884</v>
      </c>
      <c r="G11" s="146" t="n">
        <v>46249</v>
      </c>
      <c r="H11" s="147" t="n">
        <v>0.6</v>
      </c>
      <c r="I11" s="115" t="s">
        <v>303</v>
      </c>
      <c r="J11" s="115" t="s">
        <v>296</v>
      </c>
      <c r="K11" s="116" t="s">
        <v>297</v>
      </c>
      <c r="L11" s="115" t="s">
        <v>308</v>
      </c>
      <c r="M11" s="148" t="s">
        <v>323</v>
      </c>
      <c r="N11" s="149" t="s">
        <v>300</v>
      </c>
      <c r="O11" s="150" t="n">
        <v>13</v>
      </c>
      <c r="P11" s="139" t="n">
        <v>89</v>
      </c>
    </row>
    <row r="12" customFormat="false" ht="22.5" hidden="false" customHeight="true" outlineLevel="0" collapsed="false">
      <c r="A12" s="119"/>
      <c r="B12" s="120" t="s">
        <v>301</v>
      </c>
      <c r="C12" s="123" t="s">
        <v>324</v>
      </c>
      <c r="D12" s="103" t="s">
        <v>114</v>
      </c>
      <c r="E12" s="125" t="s">
        <v>26</v>
      </c>
      <c r="F12" s="134" t="n">
        <f aca="false">O12*P12*12</f>
        <v>2352</v>
      </c>
      <c r="G12" s="135" t="n">
        <v>46270</v>
      </c>
      <c r="H12" s="136" t="n">
        <v>0.4</v>
      </c>
      <c r="I12" s="125" t="s">
        <v>303</v>
      </c>
      <c r="J12" s="125" t="s">
        <v>296</v>
      </c>
      <c r="K12" s="123" t="s">
        <v>307</v>
      </c>
      <c r="L12" s="125" t="s">
        <v>325</v>
      </c>
      <c r="M12" s="103" t="s">
        <v>326</v>
      </c>
      <c r="N12" s="137" t="s">
        <v>310</v>
      </c>
      <c r="O12" s="143" t="n">
        <v>4</v>
      </c>
      <c r="P12" s="139" t="n">
        <v>49</v>
      </c>
    </row>
    <row r="13" customFormat="false" ht="22.5" hidden="false" customHeight="true" outlineLevel="0" collapsed="false">
      <c r="A13" s="119"/>
      <c r="B13" s="120" t="s">
        <v>98</v>
      </c>
      <c r="C13" s="123" t="s">
        <v>327</v>
      </c>
      <c r="D13" s="103" t="s">
        <v>122</v>
      </c>
      <c r="E13" s="125" t="s">
        <v>28</v>
      </c>
      <c r="F13" s="134" t="n">
        <f aca="false">O13*P13*12</f>
        <v>6408</v>
      </c>
      <c r="G13" s="135" t="n">
        <v>46239</v>
      </c>
      <c r="H13" s="136" t="n">
        <v>0.85</v>
      </c>
      <c r="I13" s="125" t="s">
        <v>303</v>
      </c>
      <c r="J13" s="125" t="s">
        <v>296</v>
      </c>
      <c r="K13" s="123" t="s">
        <v>297</v>
      </c>
      <c r="L13" s="125" t="s">
        <v>298</v>
      </c>
      <c r="M13" s="103" t="s">
        <v>328</v>
      </c>
      <c r="N13" s="151" t="s">
        <v>300</v>
      </c>
      <c r="O13" s="152" t="n">
        <v>6</v>
      </c>
      <c r="P13" s="139" t="n">
        <v>89</v>
      </c>
    </row>
    <row r="14" customFormat="false" ht="22.5" hidden="false" customHeight="true" outlineLevel="0" collapsed="false">
      <c r="A14" s="119"/>
      <c r="B14" s="120" t="s">
        <v>301</v>
      </c>
      <c r="C14" s="123" t="s">
        <v>329</v>
      </c>
      <c r="D14" s="103" t="s">
        <v>130</v>
      </c>
      <c r="E14" s="125" t="s">
        <v>25</v>
      </c>
      <c r="F14" s="134" t="n">
        <f aca="false">O14*P14*12</f>
        <v>2352</v>
      </c>
      <c r="G14" s="135" t="n">
        <v>46310</v>
      </c>
      <c r="H14" s="136" t="n">
        <v>0.3</v>
      </c>
      <c r="I14" s="125" t="s">
        <v>303</v>
      </c>
      <c r="J14" s="125" t="s">
        <v>296</v>
      </c>
      <c r="K14" s="123" t="s">
        <v>317</v>
      </c>
      <c r="L14" s="125" t="s">
        <v>304</v>
      </c>
      <c r="M14" s="103" t="s">
        <v>330</v>
      </c>
      <c r="N14" s="151" t="s">
        <v>310</v>
      </c>
      <c r="O14" s="152" t="n">
        <v>4</v>
      </c>
      <c r="P14" s="139" t="n">
        <v>49</v>
      </c>
    </row>
    <row r="15" customFormat="false" ht="22.5" hidden="false" customHeight="true" outlineLevel="0" collapsed="false">
      <c r="A15" s="119"/>
      <c r="B15" s="120" t="s">
        <v>301</v>
      </c>
      <c r="C15" s="123" t="s">
        <v>331</v>
      </c>
      <c r="D15" s="103" t="s">
        <v>137</v>
      </c>
      <c r="E15" s="125" t="s">
        <v>26</v>
      </c>
      <c r="F15" s="134" t="n">
        <f aca="false">O15*P15*12</f>
        <v>7476</v>
      </c>
      <c r="G15" s="135" t="n">
        <v>46285</v>
      </c>
      <c r="H15" s="136" t="n">
        <v>0.45</v>
      </c>
      <c r="I15" s="125" t="s">
        <v>303</v>
      </c>
      <c r="J15" s="125" t="s">
        <v>296</v>
      </c>
      <c r="K15" s="123" t="s">
        <v>307</v>
      </c>
      <c r="L15" s="125" t="s">
        <v>325</v>
      </c>
      <c r="M15" s="103" t="s">
        <v>332</v>
      </c>
      <c r="N15" s="151" t="s">
        <v>300</v>
      </c>
      <c r="O15" s="152" t="n">
        <v>7</v>
      </c>
      <c r="P15" s="139" t="n">
        <v>89</v>
      </c>
    </row>
    <row r="16" customFormat="false" ht="22.5" hidden="false" customHeight="true" outlineLevel="0" collapsed="false">
      <c r="A16" s="119"/>
      <c r="B16" s="120" t="s">
        <v>98</v>
      </c>
      <c r="C16" s="123" t="s">
        <v>320</v>
      </c>
      <c r="D16" s="103" t="s">
        <v>145</v>
      </c>
      <c r="E16" s="125" t="s">
        <v>24</v>
      </c>
      <c r="F16" s="134" t="n">
        <f aca="false">O16*P16*12</f>
        <v>19224</v>
      </c>
      <c r="G16" s="135" t="n">
        <v>46082</v>
      </c>
      <c r="H16" s="136" t="n">
        <v>1</v>
      </c>
      <c r="I16" s="125" t="s">
        <v>295</v>
      </c>
      <c r="J16" s="125" t="s">
        <v>296</v>
      </c>
      <c r="K16" s="123" t="s">
        <v>297</v>
      </c>
      <c r="L16" s="125" t="s">
        <v>298</v>
      </c>
      <c r="M16" s="103" t="s">
        <v>333</v>
      </c>
      <c r="N16" s="151" t="s">
        <v>300</v>
      </c>
      <c r="O16" s="152" t="n">
        <v>18</v>
      </c>
      <c r="P16" s="139" t="n">
        <v>89</v>
      </c>
    </row>
    <row r="17" customFormat="false" ht="22.5" hidden="false" customHeight="true" outlineLevel="0" collapsed="false">
      <c r="A17" s="119"/>
      <c r="B17" s="120" t="s">
        <v>301</v>
      </c>
      <c r="C17" s="123" t="s">
        <v>334</v>
      </c>
      <c r="D17" s="103" t="s">
        <v>152</v>
      </c>
      <c r="E17" s="125" t="s">
        <v>27</v>
      </c>
      <c r="F17" s="134" t="n">
        <f aca="false">O17*P17*12</f>
        <v>12816</v>
      </c>
      <c r="G17" s="135" t="n">
        <v>46259</v>
      </c>
      <c r="H17" s="136" t="n">
        <v>0.65</v>
      </c>
      <c r="I17" s="125" t="s">
        <v>303</v>
      </c>
      <c r="J17" s="125" t="s">
        <v>296</v>
      </c>
      <c r="K17" s="123" t="s">
        <v>297</v>
      </c>
      <c r="L17" s="125" t="s">
        <v>308</v>
      </c>
      <c r="M17" s="103" t="s">
        <v>335</v>
      </c>
      <c r="N17" s="151" t="s">
        <v>300</v>
      </c>
      <c r="O17" s="152" t="n">
        <v>12</v>
      </c>
      <c r="P17" s="139" t="n">
        <v>89</v>
      </c>
    </row>
    <row r="18" customFormat="false" ht="22.5" hidden="false" customHeight="true" outlineLevel="0" collapsed="false">
      <c r="A18" s="119"/>
      <c r="B18" s="120" t="s">
        <v>98</v>
      </c>
      <c r="C18" s="123" t="s">
        <v>336</v>
      </c>
      <c r="D18" s="103" t="s">
        <v>159</v>
      </c>
      <c r="E18" s="125" t="s">
        <v>24</v>
      </c>
      <c r="F18" s="134" t="n">
        <f aca="false">O18*P18*12</f>
        <v>28800</v>
      </c>
      <c r="G18" s="135" t="n">
        <v>46042</v>
      </c>
      <c r="H18" s="136" t="n">
        <v>1</v>
      </c>
      <c r="I18" s="125" t="s">
        <v>295</v>
      </c>
      <c r="J18" s="125" t="s">
        <v>296</v>
      </c>
      <c r="K18" s="123" t="s">
        <v>297</v>
      </c>
      <c r="L18" s="125" t="s">
        <v>298</v>
      </c>
      <c r="M18" s="103" t="s">
        <v>337</v>
      </c>
      <c r="N18" s="151" t="s">
        <v>338</v>
      </c>
      <c r="O18" s="152" t="n">
        <v>30</v>
      </c>
      <c r="P18" s="139" t="n">
        <v>80</v>
      </c>
    </row>
    <row r="19" customFormat="false" ht="22.5" hidden="false" customHeight="true" outlineLevel="0" collapsed="false">
      <c r="A19" s="119"/>
      <c r="B19" s="120" t="s">
        <v>301</v>
      </c>
      <c r="C19" s="123" t="s">
        <v>339</v>
      </c>
      <c r="D19" s="103" t="s">
        <v>166</v>
      </c>
      <c r="E19" s="125" t="s">
        <v>25</v>
      </c>
      <c r="F19" s="134" t="n">
        <f aca="false">O19*P19*12</f>
        <v>9612</v>
      </c>
      <c r="G19" s="135" t="n">
        <v>46305</v>
      </c>
      <c r="H19" s="136" t="n">
        <v>0.35</v>
      </c>
      <c r="I19" s="125" t="s">
        <v>303</v>
      </c>
      <c r="J19" s="125" t="s">
        <v>296</v>
      </c>
      <c r="K19" s="123" t="s">
        <v>307</v>
      </c>
      <c r="L19" s="125" t="s">
        <v>298</v>
      </c>
      <c r="M19" s="103" t="s">
        <v>340</v>
      </c>
      <c r="N19" s="151" t="s">
        <v>300</v>
      </c>
      <c r="O19" s="152" t="n">
        <v>9</v>
      </c>
      <c r="P19" s="139" t="n">
        <v>89</v>
      </c>
    </row>
    <row r="20" customFormat="false" ht="22.5" hidden="false" customHeight="true" outlineLevel="0" collapsed="false">
      <c r="A20" s="119"/>
      <c r="B20" s="120" t="s">
        <v>341</v>
      </c>
      <c r="C20" s="123" t="s">
        <v>342</v>
      </c>
      <c r="D20" s="103" t="s">
        <v>174</v>
      </c>
      <c r="E20" s="125" t="s">
        <v>26</v>
      </c>
      <c r="F20" s="134" t="n">
        <f aca="false">O20*P20*12</f>
        <v>3528</v>
      </c>
      <c r="G20" s="135" t="n">
        <v>46203</v>
      </c>
      <c r="H20" s="136" t="n">
        <v>0.15</v>
      </c>
      <c r="I20" s="125" t="s">
        <v>343</v>
      </c>
      <c r="J20" s="125" t="s">
        <v>344</v>
      </c>
      <c r="K20" s="123" t="s">
        <v>317</v>
      </c>
      <c r="L20" s="125" t="s">
        <v>298</v>
      </c>
      <c r="M20" s="103" t="s">
        <v>345</v>
      </c>
      <c r="N20" s="151" t="s">
        <v>310</v>
      </c>
      <c r="O20" s="152" t="n">
        <v>6</v>
      </c>
      <c r="P20" s="139" t="n">
        <v>49</v>
      </c>
    </row>
    <row r="21" customFormat="false" ht="22.5" hidden="false" customHeight="true" outlineLevel="0" collapsed="false">
      <c r="A21" s="119"/>
      <c r="B21" s="120" t="s">
        <v>98</v>
      </c>
      <c r="C21" s="123" t="s">
        <v>346</v>
      </c>
      <c r="D21" s="103" t="s">
        <v>181</v>
      </c>
      <c r="E21" s="125" t="s">
        <v>24</v>
      </c>
      <c r="F21" s="134" t="n">
        <f aca="false">O21*P21*12</f>
        <v>5880</v>
      </c>
      <c r="G21" s="135" t="n">
        <v>46063</v>
      </c>
      <c r="H21" s="136" t="n">
        <v>1</v>
      </c>
      <c r="I21" s="125" t="s">
        <v>295</v>
      </c>
      <c r="J21" s="125" t="s">
        <v>296</v>
      </c>
      <c r="K21" s="123" t="s">
        <v>297</v>
      </c>
      <c r="L21" s="125" t="s">
        <v>298</v>
      </c>
      <c r="M21" s="103" t="s">
        <v>347</v>
      </c>
      <c r="N21" s="151" t="s">
        <v>310</v>
      </c>
      <c r="O21" s="152" t="n">
        <v>10</v>
      </c>
      <c r="P21" s="139" t="n">
        <v>49</v>
      </c>
    </row>
    <row r="22" customFormat="false" ht="22.5" hidden="false" customHeight="true" outlineLevel="0" collapsed="false">
      <c r="A22" s="119"/>
      <c r="B22" s="120" t="s">
        <v>301</v>
      </c>
      <c r="C22" s="123" t="s">
        <v>348</v>
      </c>
      <c r="D22" s="103" t="s">
        <v>189</v>
      </c>
      <c r="E22" s="125" t="s">
        <v>25</v>
      </c>
      <c r="F22" s="134" t="n">
        <f aca="false">O22*P22*12</f>
        <v>1764</v>
      </c>
      <c r="G22" s="135" t="n">
        <v>46290</v>
      </c>
      <c r="H22" s="136" t="n">
        <v>0.25</v>
      </c>
      <c r="I22" s="125" t="s">
        <v>303</v>
      </c>
      <c r="J22" s="125" t="s">
        <v>296</v>
      </c>
      <c r="K22" s="123" t="s">
        <v>317</v>
      </c>
      <c r="L22" s="125" t="s">
        <v>304</v>
      </c>
      <c r="M22" s="103" t="s">
        <v>349</v>
      </c>
      <c r="N22" s="151" t="s">
        <v>310</v>
      </c>
      <c r="O22" s="152" t="n">
        <v>3</v>
      </c>
      <c r="P22" s="139" t="n">
        <v>49</v>
      </c>
    </row>
    <row r="23" customFormat="false" ht="22.5" hidden="false" customHeight="true" outlineLevel="0" collapsed="false">
      <c r="A23" s="119"/>
      <c r="B23" s="120" t="s">
        <v>301</v>
      </c>
      <c r="C23" s="123" t="s">
        <v>350</v>
      </c>
      <c r="D23" s="103" t="s">
        <v>196</v>
      </c>
      <c r="E23" s="125" t="s">
        <v>25</v>
      </c>
      <c r="F23" s="134" t="n">
        <f aca="false">O23*P23*12</f>
        <v>2352</v>
      </c>
      <c r="G23" s="135" t="n">
        <v>46315</v>
      </c>
      <c r="H23" s="136" t="n">
        <v>0.2</v>
      </c>
      <c r="I23" s="125" t="s">
        <v>303</v>
      </c>
      <c r="J23" s="125" t="s">
        <v>296</v>
      </c>
      <c r="K23" s="123" t="s">
        <v>317</v>
      </c>
      <c r="L23" s="125" t="s">
        <v>304</v>
      </c>
      <c r="M23" s="103" t="s">
        <v>351</v>
      </c>
      <c r="N23" s="151" t="s">
        <v>310</v>
      </c>
      <c r="O23" s="152" t="n">
        <v>4</v>
      </c>
      <c r="P23" s="139" t="n">
        <v>49</v>
      </c>
    </row>
    <row r="24" customFormat="false" ht="22.5" hidden="false" customHeight="true" outlineLevel="0" collapsed="false">
      <c r="A24" s="119"/>
      <c r="B24" s="120" t="s">
        <v>98</v>
      </c>
      <c r="C24" s="123" t="s">
        <v>320</v>
      </c>
      <c r="D24" s="103" t="s">
        <v>202</v>
      </c>
      <c r="E24" s="125" t="s">
        <v>24</v>
      </c>
      <c r="F24" s="134" t="n">
        <f aca="false">O24*P24*12</f>
        <v>16020</v>
      </c>
      <c r="G24" s="135" t="n">
        <v>46096</v>
      </c>
      <c r="H24" s="136" t="n">
        <v>1</v>
      </c>
      <c r="I24" s="125" t="s">
        <v>295</v>
      </c>
      <c r="J24" s="125" t="s">
        <v>296</v>
      </c>
      <c r="K24" s="123" t="s">
        <v>297</v>
      </c>
      <c r="L24" s="125" t="s">
        <v>298</v>
      </c>
      <c r="M24" s="103" t="s">
        <v>352</v>
      </c>
      <c r="N24" s="151" t="s">
        <v>300</v>
      </c>
      <c r="O24" s="152" t="n">
        <v>15</v>
      </c>
      <c r="P24" s="139" t="n">
        <v>89</v>
      </c>
    </row>
    <row r="25" customFormat="false" ht="22.5" hidden="false" customHeight="true" outlineLevel="0" collapsed="false">
      <c r="A25" s="119"/>
      <c r="B25" s="120" t="s">
        <v>301</v>
      </c>
      <c r="C25" s="123" t="s">
        <v>353</v>
      </c>
      <c r="D25" s="103" t="s">
        <v>208</v>
      </c>
      <c r="E25" s="125" t="s">
        <v>28</v>
      </c>
      <c r="F25" s="134" t="n">
        <f aca="false">O25*P25*12</f>
        <v>1764</v>
      </c>
      <c r="G25" s="135" t="n">
        <v>46264</v>
      </c>
      <c r="H25" s="136" t="n">
        <v>0.75</v>
      </c>
      <c r="I25" s="125" t="s">
        <v>303</v>
      </c>
      <c r="J25" s="125" t="s">
        <v>296</v>
      </c>
      <c r="K25" s="123" t="s">
        <v>307</v>
      </c>
      <c r="L25" s="125" t="s">
        <v>304</v>
      </c>
      <c r="M25" s="103" t="s">
        <v>354</v>
      </c>
      <c r="N25" s="151" t="s">
        <v>310</v>
      </c>
      <c r="O25" s="152" t="n">
        <v>3</v>
      </c>
      <c r="P25" s="139" t="n">
        <v>49</v>
      </c>
    </row>
    <row r="26" customFormat="false" ht="22.5" hidden="false" customHeight="true" outlineLevel="0" collapsed="false">
      <c r="A26" s="119"/>
      <c r="B26" s="120" t="s">
        <v>341</v>
      </c>
      <c r="C26" s="123" t="s">
        <v>355</v>
      </c>
      <c r="D26" s="103" t="s">
        <v>91</v>
      </c>
      <c r="E26" s="125" t="s">
        <v>25</v>
      </c>
      <c r="F26" s="134" t="n">
        <f aca="false">O26*P26*12</f>
        <v>2352</v>
      </c>
      <c r="G26" s="135" t="n">
        <v>46157</v>
      </c>
      <c r="H26" s="136" t="n">
        <v>0.1</v>
      </c>
      <c r="I26" s="125" t="s">
        <v>356</v>
      </c>
      <c r="J26" s="125" t="s">
        <v>296</v>
      </c>
      <c r="K26" s="123" t="s">
        <v>317</v>
      </c>
      <c r="L26" s="125" t="s">
        <v>298</v>
      </c>
      <c r="M26" s="103" t="s">
        <v>357</v>
      </c>
      <c r="N26" s="151" t="s">
        <v>310</v>
      </c>
      <c r="O26" s="152" t="n">
        <v>4</v>
      </c>
      <c r="P26" s="139" t="n">
        <v>49</v>
      </c>
    </row>
    <row r="27" customFormat="false" ht="22.5" hidden="false" customHeight="true" outlineLevel="0" collapsed="false">
      <c r="A27" s="119"/>
      <c r="B27" s="120" t="s">
        <v>301</v>
      </c>
      <c r="C27" s="123" t="s">
        <v>358</v>
      </c>
      <c r="D27" s="103" t="s">
        <v>137</v>
      </c>
      <c r="E27" s="125" t="s">
        <v>27</v>
      </c>
      <c r="F27" s="134" t="n">
        <f aca="false">O27*P27*12</f>
        <v>19200</v>
      </c>
      <c r="G27" s="135" t="n">
        <v>46341</v>
      </c>
      <c r="H27" s="136" t="n">
        <v>0.4</v>
      </c>
      <c r="I27" s="125" t="s">
        <v>303</v>
      </c>
      <c r="J27" s="125" t="s">
        <v>296</v>
      </c>
      <c r="K27" s="123" t="s">
        <v>307</v>
      </c>
      <c r="L27" s="125" t="s">
        <v>325</v>
      </c>
      <c r="M27" s="103" t="s">
        <v>359</v>
      </c>
      <c r="N27" s="151" t="s">
        <v>338</v>
      </c>
      <c r="O27" s="152" t="n">
        <v>20</v>
      </c>
      <c r="P27" s="139" t="n">
        <v>80</v>
      </c>
    </row>
    <row r="28" customFormat="false" ht="15.75" hidden="false" customHeight="true" outlineLevel="0" collapsed="false"/>
    <row r="29" customFormat="false" ht="15.75" hidden="false" customHeight="true" outlineLevel="0" collapsed="false">
      <c r="B29" s="153" t="s">
        <v>360</v>
      </c>
      <c r="C29" s="154" t="s">
        <v>361</v>
      </c>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B3:L27"/>
  <dataValidations count="4">
    <dataValidation allowBlank="true" errorStyle="stop" operator="between" showDropDown="false" showErrorMessage="true" showInputMessage="false" sqref="J4:J27" type="list">
      <formula1>Rahmenbedingungen!$F$5:$F$11</formula1>
      <formula2>0</formula2>
    </dataValidation>
    <dataValidation allowBlank="true" errorStyle="stop" operator="between" showDropDown="false" showErrorMessage="true" showInputMessage="false" sqref="E4:E27" type="list">
      <formula1>Rahmenbedingungen!$C$5:$C$11</formula1>
      <formula2>0</formula2>
    </dataValidation>
    <dataValidation allowBlank="true" errorStyle="stop" operator="between" showDropDown="false" showErrorMessage="true" showInputMessage="false" sqref="L4:L27" type="list">
      <formula1>Rahmenbedingungen!$E$5:$E$11</formula1>
      <formula2>0</formula2>
    </dataValidation>
    <dataValidation allowBlank="true" errorStyle="stop" operator="between" showDropDown="false" showErrorMessage="true" showInputMessage="false" sqref="I4:I27" type="list">
      <formula1>Rahmenbedingungen!$D$5:$D$11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4" activeCellId="0" sqref="B4"/>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13"/>
    <col collapsed="false" customWidth="true" hidden="false" outlineLevel="0" max="3" min="3" style="0" width="26"/>
    <col collapsed="false" customWidth="true" hidden="false" outlineLevel="0" max="4" min="4" style="0" width="18"/>
    <col collapsed="false" customWidth="true" hidden="false" outlineLevel="0" max="5" min="5" style="0" width="30"/>
    <col collapsed="false" customWidth="true" hidden="false" outlineLevel="0" max="6" min="6" style="0" width="16"/>
    <col collapsed="false" customWidth="true" hidden="false" outlineLevel="0" max="7" min="7" style="0" width="12"/>
    <col collapsed="false" customWidth="true" hidden="false" outlineLevel="0" max="8" min="8" style="0" width="42"/>
    <col collapsed="false" customWidth="true" hidden="false" outlineLevel="0" max="9" min="9" style="0" width="22"/>
    <col collapsed="false" customWidth="true" hidden="false" outlineLevel="0" max="10" min="10" style="0" width="34"/>
    <col collapsed="false" customWidth="true" hidden="false" outlineLevel="0" max="11" min="11" style="0" width="13"/>
    <col collapsed="false" customWidth="true" hidden="false" outlineLevel="0" max="12" min="12" style="0" width="16"/>
    <col collapsed="false" customWidth="true" hidden="false" outlineLevel="0" max="26" min="13" style="0" width="8.63"/>
  </cols>
  <sheetData>
    <row r="1" customFormat="false" ht="51" hidden="false" customHeight="true" outlineLevel="0" collapsed="false">
      <c r="C1" s="30" t="s">
        <v>362</v>
      </c>
      <c r="D1" s="155" t="s">
        <v>363</v>
      </c>
      <c r="E1" s="156" t="s">
        <v>364</v>
      </c>
      <c r="F1" s="157"/>
      <c r="G1" s="157"/>
      <c r="H1" s="157"/>
      <c r="I1" s="157"/>
      <c r="J1" s="157"/>
      <c r="K1" s="157"/>
      <c r="L1" s="157"/>
      <c r="M1" s="157"/>
    </row>
    <row r="3" customFormat="false" ht="22.5" hidden="false" customHeight="true" outlineLevel="0" collapsed="false">
      <c r="B3" s="118" t="s">
        <v>365</v>
      </c>
      <c r="C3" s="130" t="s">
        <v>12</v>
      </c>
      <c r="D3" s="130" t="s">
        <v>366</v>
      </c>
      <c r="E3" s="130" t="s">
        <v>367</v>
      </c>
      <c r="F3" s="131" t="s">
        <v>368</v>
      </c>
      <c r="G3" s="131" t="s">
        <v>369</v>
      </c>
      <c r="H3" s="131" t="s">
        <v>370</v>
      </c>
      <c r="I3" s="130" t="s">
        <v>371</v>
      </c>
      <c r="J3" s="130" t="s">
        <v>372</v>
      </c>
      <c r="K3" s="130" t="s">
        <v>373</v>
      </c>
      <c r="L3" s="130" t="s">
        <v>229</v>
      </c>
    </row>
    <row r="4" customFormat="false" ht="22.5" hidden="false" customHeight="true" outlineLevel="0" collapsed="false">
      <c r="A4" s="119"/>
      <c r="B4" s="158" t="n">
        <v>46175</v>
      </c>
      <c r="C4" s="123" t="s">
        <v>46</v>
      </c>
      <c r="D4" s="103" t="s">
        <v>45</v>
      </c>
      <c r="E4" s="125" t="s">
        <v>374</v>
      </c>
      <c r="F4" s="123" t="s">
        <v>375</v>
      </c>
      <c r="G4" s="123" t="s">
        <v>376</v>
      </c>
      <c r="H4" s="159" t="s">
        <v>377</v>
      </c>
      <c r="I4" s="125" t="s">
        <v>378</v>
      </c>
      <c r="J4" s="125" t="s">
        <v>379</v>
      </c>
      <c r="K4" s="135" t="n">
        <v>46267</v>
      </c>
      <c r="L4" s="125" t="s">
        <v>233</v>
      </c>
      <c r="M4" s="103"/>
    </row>
    <row r="5" customFormat="false" ht="22.5" hidden="false" customHeight="true" outlineLevel="0" collapsed="false">
      <c r="A5" s="119"/>
      <c r="B5" s="158" t="n">
        <v>46193</v>
      </c>
      <c r="C5" s="123" t="s">
        <v>55</v>
      </c>
      <c r="D5" s="103" t="s">
        <v>54</v>
      </c>
      <c r="E5" s="125" t="s">
        <v>302</v>
      </c>
      <c r="F5" s="123" t="s">
        <v>380</v>
      </c>
      <c r="G5" s="123" t="s">
        <v>381</v>
      </c>
      <c r="H5" s="159" t="s">
        <v>382</v>
      </c>
      <c r="I5" s="125" t="s">
        <v>383</v>
      </c>
      <c r="J5" s="125" t="s">
        <v>384</v>
      </c>
      <c r="K5" s="135" t="n">
        <v>46207</v>
      </c>
      <c r="L5" s="125" t="s">
        <v>236</v>
      </c>
      <c r="M5" s="103"/>
    </row>
    <row r="6" customFormat="false" ht="22.5" hidden="false" customHeight="true" outlineLevel="0" collapsed="false">
      <c r="A6" s="119"/>
      <c r="B6" s="158" t="n">
        <v>46208</v>
      </c>
      <c r="C6" s="123" t="s">
        <v>55</v>
      </c>
      <c r="D6" s="103" t="s">
        <v>215</v>
      </c>
      <c r="E6" s="125" t="s">
        <v>302</v>
      </c>
      <c r="F6" s="123" t="s">
        <v>325</v>
      </c>
      <c r="G6" s="123" t="s">
        <v>325</v>
      </c>
      <c r="H6" s="159" t="s">
        <v>385</v>
      </c>
      <c r="I6" s="125" t="s">
        <v>386</v>
      </c>
      <c r="J6" s="125" t="s">
        <v>387</v>
      </c>
      <c r="K6" s="135" t="n">
        <v>46221</v>
      </c>
      <c r="L6" s="125" t="s">
        <v>236</v>
      </c>
      <c r="M6" s="103"/>
    </row>
    <row r="7" customFormat="false" ht="22.5" hidden="false" customHeight="true" outlineLevel="0" collapsed="false">
      <c r="A7" s="119"/>
      <c r="B7" s="158" t="n">
        <v>46184</v>
      </c>
      <c r="C7" s="123" t="s">
        <v>65</v>
      </c>
      <c r="D7" s="103" t="s">
        <v>64</v>
      </c>
      <c r="E7" s="125" t="s">
        <v>306</v>
      </c>
      <c r="F7" s="123" t="s">
        <v>375</v>
      </c>
      <c r="G7" s="123" t="s">
        <v>376</v>
      </c>
      <c r="H7" s="159" t="s">
        <v>388</v>
      </c>
      <c r="I7" s="125" t="s">
        <v>389</v>
      </c>
      <c r="J7" s="125" t="s">
        <v>390</v>
      </c>
      <c r="K7" s="135" t="n">
        <v>46223</v>
      </c>
      <c r="L7" s="125" t="s">
        <v>239</v>
      </c>
      <c r="M7" s="103"/>
    </row>
    <row r="8" customFormat="false" ht="22.5" hidden="false" customHeight="true" outlineLevel="0" collapsed="false">
      <c r="A8" s="119"/>
      <c r="B8" s="158" t="n">
        <v>46218</v>
      </c>
      <c r="C8" s="123" t="s">
        <v>74</v>
      </c>
      <c r="D8" s="103" t="s">
        <v>73</v>
      </c>
      <c r="E8" s="125" t="s">
        <v>391</v>
      </c>
      <c r="F8" s="123" t="s">
        <v>392</v>
      </c>
      <c r="G8" s="123" t="s">
        <v>393</v>
      </c>
      <c r="H8" s="159" t="s">
        <v>394</v>
      </c>
      <c r="I8" s="125" t="s">
        <v>395</v>
      </c>
      <c r="J8" s="125" t="s">
        <v>396</v>
      </c>
      <c r="K8" s="135" t="n">
        <v>46234</v>
      </c>
      <c r="L8" s="125" t="s">
        <v>233</v>
      </c>
      <c r="M8" s="103"/>
    </row>
    <row r="9" customFormat="false" ht="22.5" hidden="false" customHeight="true" outlineLevel="0" collapsed="false">
      <c r="A9" s="119"/>
      <c r="B9" s="158" t="n">
        <v>46198</v>
      </c>
      <c r="C9" s="123" t="s">
        <v>82</v>
      </c>
      <c r="D9" s="103" t="s">
        <v>81</v>
      </c>
      <c r="E9" s="125" t="s">
        <v>313</v>
      </c>
      <c r="F9" s="123" t="s">
        <v>397</v>
      </c>
      <c r="G9" s="123" t="s">
        <v>398</v>
      </c>
      <c r="H9" s="159" t="s">
        <v>399</v>
      </c>
      <c r="I9" s="125" t="s">
        <v>389</v>
      </c>
      <c r="J9" s="125" t="s">
        <v>400</v>
      </c>
      <c r="K9" s="135" t="n">
        <v>46228</v>
      </c>
      <c r="L9" s="125" t="s">
        <v>236</v>
      </c>
      <c r="M9" s="103"/>
    </row>
    <row r="10" customFormat="false" ht="22.5" hidden="false" customHeight="true" outlineLevel="0" collapsed="false">
      <c r="A10" s="119"/>
      <c r="B10" s="158" t="n">
        <v>46213</v>
      </c>
      <c r="C10" s="123" t="s">
        <v>91</v>
      </c>
      <c r="D10" s="103" t="s">
        <v>90</v>
      </c>
      <c r="E10" s="125" t="s">
        <v>316</v>
      </c>
      <c r="F10" s="123" t="s">
        <v>392</v>
      </c>
      <c r="G10" s="123" t="s">
        <v>393</v>
      </c>
      <c r="H10" s="159" t="s">
        <v>401</v>
      </c>
      <c r="I10" s="125" t="s">
        <v>402</v>
      </c>
      <c r="J10" s="125" t="s">
        <v>403</v>
      </c>
      <c r="K10" s="135" t="n">
        <v>46241</v>
      </c>
      <c r="L10" s="125" t="s">
        <v>246</v>
      </c>
      <c r="M10" s="103"/>
    </row>
    <row r="11" customFormat="false" ht="22.5" hidden="false" customHeight="true" outlineLevel="0" collapsed="false">
      <c r="A11" s="119"/>
      <c r="B11" s="158" t="n">
        <v>46170</v>
      </c>
      <c r="C11" s="123" t="s">
        <v>100</v>
      </c>
      <c r="D11" s="103" t="s">
        <v>99</v>
      </c>
      <c r="E11" s="125" t="s">
        <v>404</v>
      </c>
      <c r="F11" s="123" t="s">
        <v>375</v>
      </c>
      <c r="G11" s="123" t="s">
        <v>376</v>
      </c>
      <c r="H11" s="159" t="s">
        <v>405</v>
      </c>
      <c r="I11" s="125" t="s">
        <v>378</v>
      </c>
      <c r="J11" s="125" t="s">
        <v>406</v>
      </c>
      <c r="K11" s="135" t="n">
        <v>46235</v>
      </c>
      <c r="L11" s="125" t="s">
        <v>233</v>
      </c>
      <c r="M11" s="103"/>
    </row>
    <row r="12" customFormat="false" ht="22.5" hidden="false" customHeight="true" outlineLevel="0" collapsed="false">
      <c r="A12" s="119"/>
      <c r="B12" s="158" t="n">
        <v>46211</v>
      </c>
      <c r="C12" s="123" t="s">
        <v>107</v>
      </c>
      <c r="D12" s="103" t="s">
        <v>106</v>
      </c>
      <c r="E12" s="125" t="s">
        <v>322</v>
      </c>
      <c r="F12" s="123" t="s">
        <v>380</v>
      </c>
      <c r="G12" s="123" t="s">
        <v>381</v>
      </c>
      <c r="H12" s="159" t="s">
        <v>407</v>
      </c>
      <c r="I12" s="125" t="s">
        <v>408</v>
      </c>
      <c r="J12" s="125" t="s">
        <v>409</v>
      </c>
      <c r="K12" s="135" t="n">
        <v>46225</v>
      </c>
      <c r="L12" s="125" t="s">
        <v>239</v>
      </c>
      <c r="M12" s="103"/>
    </row>
    <row r="13" customFormat="false" ht="22.5" hidden="false" customHeight="true" outlineLevel="0" collapsed="false">
      <c r="A13" s="119"/>
      <c r="B13" s="158" t="n">
        <v>46221</v>
      </c>
      <c r="C13" s="123" t="s">
        <v>114</v>
      </c>
      <c r="D13" s="103" t="s">
        <v>113</v>
      </c>
      <c r="E13" s="125" t="s">
        <v>324</v>
      </c>
      <c r="F13" s="123" t="s">
        <v>325</v>
      </c>
      <c r="G13" s="123" t="s">
        <v>325</v>
      </c>
      <c r="H13" s="159" t="s">
        <v>410</v>
      </c>
      <c r="I13" s="125" t="s">
        <v>411</v>
      </c>
      <c r="J13" s="125" t="s">
        <v>412</v>
      </c>
      <c r="K13" s="135" t="n">
        <v>46246</v>
      </c>
      <c r="L13" s="125" t="s">
        <v>236</v>
      </c>
      <c r="M13" s="103"/>
    </row>
    <row r="14" customFormat="false" ht="22.5" hidden="false" customHeight="true" outlineLevel="0" collapsed="false">
      <c r="A14" s="119"/>
      <c r="B14" s="158" t="n">
        <v>46204</v>
      </c>
      <c r="C14" s="123" t="s">
        <v>122</v>
      </c>
      <c r="D14" s="103" t="s">
        <v>121</v>
      </c>
      <c r="E14" s="125" t="s">
        <v>413</v>
      </c>
      <c r="F14" s="123" t="s">
        <v>375</v>
      </c>
      <c r="G14" s="123" t="s">
        <v>376</v>
      </c>
      <c r="H14" s="159" t="s">
        <v>414</v>
      </c>
      <c r="I14" s="125" t="s">
        <v>415</v>
      </c>
      <c r="J14" s="125" t="s">
        <v>416</v>
      </c>
      <c r="K14" s="135" t="n">
        <v>46218</v>
      </c>
      <c r="L14" s="125" t="s">
        <v>233</v>
      </c>
      <c r="M14" s="103"/>
    </row>
    <row r="15" customFormat="false" ht="22.5" hidden="false" customHeight="true" outlineLevel="0" collapsed="false">
      <c r="A15" s="119"/>
      <c r="B15" s="158" t="n">
        <v>46187</v>
      </c>
      <c r="C15" s="123" t="s">
        <v>130</v>
      </c>
      <c r="D15" s="103" t="s">
        <v>129</v>
      </c>
      <c r="E15" s="125" t="s">
        <v>329</v>
      </c>
      <c r="F15" s="123" t="s">
        <v>417</v>
      </c>
      <c r="G15" s="123" t="s">
        <v>43</v>
      </c>
      <c r="H15" s="159" t="s">
        <v>418</v>
      </c>
      <c r="I15" s="125" t="s">
        <v>419</v>
      </c>
      <c r="J15" s="125" t="s">
        <v>420</v>
      </c>
      <c r="K15" s="135" t="n">
        <v>46231</v>
      </c>
      <c r="L15" s="125" t="s">
        <v>239</v>
      </c>
      <c r="M15" s="103"/>
    </row>
    <row r="16" customFormat="false" ht="22.5" hidden="false" customHeight="true" outlineLevel="0" collapsed="false">
      <c r="A16" s="119"/>
      <c r="B16" s="158" t="n">
        <v>46215</v>
      </c>
      <c r="C16" s="123" t="s">
        <v>137</v>
      </c>
      <c r="D16" s="103" t="s">
        <v>136</v>
      </c>
      <c r="E16" s="125" t="s">
        <v>331</v>
      </c>
      <c r="F16" s="123" t="s">
        <v>392</v>
      </c>
      <c r="G16" s="123" t="s">
        <v>393</v>
      </c>
      <c r="H16" s="159" t="s">
        <v>421</v>
      </c>
      <c r="I16" s="125" t="s">
        <v>422</v>
      </c>
      <c r="J16" s="125" t="s">
        <v>423</v>
      </c>
      <c r="K16" s="135" t="n">
        <v>46229</v>
      </c>
      <c r="L16" s="125" t="s">
        <v>236</v>
      </c>
      <c r="M16" s="103"/>
    </row>
    <row r="17" customFormat="false" ht="22.5" hidden="false" customHeight="true" outlineLevel="0" collapsed="false">
      <c r="A17" s="119"/>
      <c r="B17" s="158" t="n">
        <v>46073</v>
      </c>
      <c r="C17" s="123" t="s">
        <v>145</v>
      </c>
      <c r="D17" s="103" t="s">
        <v>144</v>
      </c>
      <c r="E17" s="125" t="s">
        <v>404</v>
      </c>
      <c r="F17" s="123" t="s">
        <v>375</v>
      </c>
      <c r="G17" s="123" t="s">
        <v>376</v>
      </c>
      <c r="H17" s="159" t="s">
        <v>424</v>
      </c>
      <c r="I17" s="125" t="s">
        <v>378</v>
      </c>
      <c r="J17" s="125" t="s">
        <v>425</v>
      </c>
      <c r="K17" s="135" t="n">
        <v>46235</v>
      </c>
      <c r="L17" s="125" t="s">
        <v>246</v>
      </c>
      <c r="M17" s="103"/>
    </row>
    <row r="18" customFormat="false" ht="22.5" hidden="false" customHeight="true" outlineLevel="0" collapsed="false">
      <c r="A18" s="119"/>
      <c r="B18" s="158" t="n">
        <v>46206</v>
      </c>
      <c r="C18" s="123" t="s">
        <v>152</v>
      </c>
      <c r="D18" s="103" t="s">
        <v>151</v>
      </c>
      <c r="E18" s="125" t="s">
        <v>334</v>
      </c>
      <c r="F18" s="123" t="s">
        <v>375</v>
      </c>
      <c r="G18" s="123" t="s">
        <v>376</v>
      </c>
      <c r="H18" s="159" t="s">
        <v>426</v>
      </c>
      <c r="I18" s="125" t="s">
        <v>395</v>
      </c>
      <c r="J18" s="125" t="s">
        <v>427</v>
      </c>
      <c r="K18" s="135" t="n">
        <v>46233</v>
      </c>
      <c r="L18" s="125" t="s">
        <v>233</v>
      </c>
      <c r="M18" s="103"/>
    </row>
    <row r="19" customFormat="false" ht="22.5" hidden="false" customHeight="true" outlineLevel="0" collapsed="false">
      <c r="A19" s="119"/>
      <c r="B19" s="158" t="n">
        <v>46212</v>
      </c>
      <c r="C19" s="123" t="s">
        <v>152</v>
      </c>
      <c r="D19" s="103" t="s">
        <v>218</v>
      </c>
      <c r="E19" s="125" t="s">
        <v>334</v>
      </c>
      <c r="F19" s="123" t="s">
        <v>325</v>
      </c>
      <c r="G19" s="123" t="s">
        <v>325</v>
      </c>
      <c r="H19" s="159" t="s">
        <v>428</v>
      </c>
      <c r="I19" s="125" t="s">
        <v>429</v>
      </c>
      <c r="J19" s="125" t="s">
        <v>430</v>
      </c>
      <c r="K19" s="135" t="n">
        <v>46239</v>
      </c>
      <c r="L19" s="125" t="s">
        <v>233</v>
      </c>
      <c r="M19" s="103"/>
    </row>
    <row r="20" customFormat="false" ht="22.5" hidden="false" customHeight="true" outlineLevel="0" collapsed="false">
      <c r="A20" s="119"/>
      <c r="B20" s="158" t="n">
        <v>46032</v>
      </c>
      <c r="C20" s="123" t="s">
        <v>159</v>
      </c>
      <c r="D20" s="103" t="s">
        <v>158</v>
      </c>
      <c r="E20" s="125" t="s">
        <v>431</v>
      </c>
      <c r="F20" s="123" t="s">
        <v>392</v>
      </c>
      <c r="G20" s="123" t="s">
        <v>393</v>
      </c>
      <c r="H20" s="159" t="s">
        <v>432</v>
      </c>
      <c r="I20" s="125" t="s">
        <v>378</v>
      </c>
      <c r="J20" s="125" t="s">
        <v>433</v>
      </c>
      <c r="K20" s="135" t="n">
        <v>46305</v>
      </c>
      <c r="L20" s="125" t="s">
        <v>236</v>
      </c>
      <c r="M20" s="103"/>
    </row>
    <row r="21" customFormat="false" ht="22.5" hidden="false" customHeight="true" outlineLevel="0" collapsed="false">
      <c r="A21" s="119"/>
      <c r="B21" s="158" t="n">
        <v>46217</v>
      </c>
      <c r="C21" s="123" t="s">
        <v>159</v>
      </c>
      <c r="D21" s="103" t="s">
        <v>221</v>
      </c>
      <c r="E21" s="125" t="s">
        <v>431</v>
      </c>
      <c r="F21" s="123" t="s">
        <v>375</v>
      </c>
      <c r="G21" s="123" t="s">
        <v>376</v>
      </c>
      <c r="H21" s="159" t="s">
        <v>434</v>
      </c>
      <c r="I21" s="125" t="s">
        <v>411</v>
      </c>
      <c r="J21" s="125" t="s">
        <v>435</v>
      </c>
      <c r="K21" s="135" t="n">
        <v>46239</v>
      </c>
      <c r="L21" s="125" t="s">
        <v>236</v>
      </c>
      <c r="M21" s="103"/>
    </row>
    <row r="22" customFormat="false" ht="22.5" hidden="false" customHeight="true" outlineLevel="0" collapsed="false">
      <c r="A22" s="119"/>
      <c r="B22" s="158" t="n">
        <v>46203</v>
      </c>
      <c r="C22" s="123" t="s">
        <v>166</v>
      </c>
      <c r="D22" s="103" t="s">
        <v>165</v>
      </c>
      <c r="E22" s="125" t="s">
        <v>339</v>
      </c>
      <c r="F22" s="123" t="s">
        <v>375</v>
      </c>
      <c r="G22" s="123" t="s">
        <v>376</v>
      </c>
      <c r="H22" s="159" t="s">
        <v>436</v>
      </c>
      <c r="I22" s="125" t="s">
        <v>389</v>
      </c>
      <c r="J22" s="125" t="s">
        <v>437</v>
      </c>
      <c r="K22" s="135" t="n">
        <v>46224</v>
      </c>
      <c r="L22" s="125" t="s">
        <v>239</v>
      </c>
      <c r="M22" s="103"/>
    </row>
    <row r="23" customFormat="false" ht="22.5" hidden="false" customHeight="true" outlineLevel="0" collapsed="false">
      <c r="A23" s="119"/>
      <c r="B23" s="158" t="n">
        <v>46147</v>
      </c>
      <c r="C23" s="123" t="s">
        <v>174</v>
      </c>
      <c r="D23" s="103" t="s">
        <v>173</v>
      </c>
      <c r="E23" s="125" t="s">
        <v>342</v>
      </c>
      <c r="F23" s="123" t="s">
        <v>380</v>
      </c>
      <c r="G23" s="123" t="s">
        <v>381</v>
      </c>
      <c r="H23" s="159" t="s">
        <v>438</v>
      </c>
      <c r="I23" s="125" t="s">
        <v>439</v>
      </c>
      <c r="J23" s="125" t="s">
        <v>440</v>
      </c>
      <c r="K23" s="135" t="n">
        <v>46357</v>
      </c>
      <c r="L23" s="125" t="s">
        <v>246</v>
      </c>
      <c r="M23" s="103"/>
    </row>
    <row r="24" customFormat="false" ht="22.5" hidden="false" customHeight="true" outlineLevel="0" collapsed="false">
      <c r="A24" s="119"/>
      <c r="B24" s="158" t="n">
        <v>46047</v>
      </c>
      <c r="C24" s="123" t="s">
        <v>181</v>
      </c>
      <c r="D24" s="103" t="s">
        <v>180</v>
      </c>
      <c r="E24" s="125" t="s">
        <v>404</v>
      </c>
      <c r="F24" s="123" t="s">
        <v>375</v>
      </c>
      <c r="G24" s="123" t="s">
        <v>376</v>
      </c>
      <c r="H24" s="159" t="s">
        <v>441</v>
      </c>
      <c r="I24" s="125" t="s">
        <v>378</v>
      </c>
      <c r="J24" s="125" t="s">
        <v>442</v>
      </c>
      <c r="K24" s="135" t="n">
        <v>46259</v>
      </c>
      <c r="L24" s="125" t="s">
        <v>236</v>
      </c>
      <c r="M24" s="103"/>
    </row>
    <row r="25" customFormat="false" ht="22.5" hidden="false" customHeight="true" outlineLevel="0" collapsed="false">
      <c r="A25" s="119"/>
      <c r="B25" s="158" t="n">
        <v>46214</v>
      </c>
      <c r="C25" s="123" t="s">
        <v>189</v>
      </c>
      <c r="D25" s="103" t="s">
        <v>188</v>
      </c>
      <c r="E25" s="125" t="s">
        <v>348</v>
      </c>
      <c r="F25" s="123" t="s">
        <v>380</v>
      </c>
      <c r="G25" s="123" t="s">
        <v>381</v>
      </c>
      <c r="H25" s="159" t="s">
        <v>443</v>
      </c>
      <c r="I25" s="125" t="s">
        <v>444</v>
      </c>
      <c r="J25" s="125" t="s">
        <v>445</v>
      </c>
      <c r="K25" s="135" t="n">
        <v>46228</v>
      </c>
      <c r="L25" s="125" t="s">
        <v>239</v>
      </c>
      <c r="M25" s="103"/>
    </row>
    <row r="26" customFormat="false" ht="22.5" hidden="false" customHeight="true" outlineLevel="0" collapsed="false">
      <c r="A26" s="119"/>
      <c r="B26" s="158" t="n">
        <v>46219</v>
      </c>
      <c r="C26" s="123" t="s">
        <v>196</v>
      </c>
      <c r="D26" s="103" t="s">
        <v>195</v>
      </c>
      <c r="E26" s="125" t="s">
        <v>350</v>
      </c>
      <c r="F26" s="123" t="s">
        <v>417</v>
      </c>
      <c r="G26" s="123" t="s">
        <v>43</v>
      </c>
      <c r="H26" s="159" t="s">
        <v>446</v>
      </c>
      <c r="I26" s="125" t="s">
        <v>389</v>
      </c>
      <c r="J26" s="125" t="s">
        <v>447</v>
      </c>
      <c r="K26" s="135" t="n">
        <v>46233</v>
      </c>
      <c r="L26" s="125" t="s">
        <v>233</v>
      </c>
      <c r="M26" s="103"/>
    </row>
    <row r="27" customFormat="false" ht="22.5" hidden="false" customHeight="true" outlineLevel="0" collapsed="false">
      <c r="A27" s="119"/>
      <c r="B27" s="158" t="n">
        <v>46082</v>
      </c>
      <c r="C27" s="123" t="s">
        <v>202</v>
      </c>
      <c r="D27" s="103" t="s">
        <v>201</v>
      </c>
      <c r="E27" s="125" t="s">
        <v>404</v>
      </c>
      <c r="F27" s="123" t="s">
        <v>375</v>
      </c>
      <c r="G27" s="123" t="s">
        <v>376</v>
      </c>
      <c r="H27" s="159" t="s">
        <v>448</v>
      </c>
      <c r="I27" s="125" t="s">
        <v>378</v>
      </c>
      <c r="J27" s="125" t="s">
        <v>449</v>
      </c>
      <c r="K27" s="135" t="n">
        <v>46235</v>
      </c>
      <c r="L27" s="125" t="s">
        <v>246</v>
      </c>
      <c r="M27" s="103"/>
    </row>
    <row r="28" customFormat="false" ht="22.5" hidden="false" customHeight="true" outlineLevel="0" collapsed="false">
      <c r="A28" s="119"/>
      <c r="B28" s="158" t="n">
        <v>46223</v>
      </c>
      <c r="C28" s="123" t="s">
        <v>208</v>
      </c>
      <c r="D28" s="103" t="s">
        <v>207</v>
      </c>
      <c r="E28" s="125" t="s">
        <v>353</v>
      </c>
      <c r="F28" s="123" t="s">
        <v>325</v>
      </c>
      <c r="G28" s="123" t="s">
        <v>325</v>
      </c>
      <c r="H28" s="159" t="s">
        <v>450</v>
      </c>
      <c r="I28" s="125" t="s">
        <v>451</v>
      </c>
      <c r="J28" s="125" t="s">
        <v>452</v>
      </c>
      <c r="K28" s="135" t="n">
        <v>46237</v>
      </c>
      <c r="L28" s="125" t="s">
        <v>236</v>
      </c>
      <c r="M28" s="103"/>
    </row>
    <row r="29" customFormat="false" ht="22.5" hidden="false" customHeight="true" outlineLevel="0" collapsed="false">
      <c r="A29" s="119"/>
      <c r="B29" s="158" t="n">
        <v>46132</v>
      </c>
      <c r="C29" s="123" t="s">
        <v>91</v>
      </c>
      <c r="D29" s="103" t="s">
        <v>90</v>
      </c>
      <c r="E29" s="125" t="s">
        <v>355</v>
      </c>
      <c r="F29" s="123" t="s">
        <v>375</v>
      </c>
      <c r="G29" s="123" t="s">
        <v>376</v>
      </c>
      <c r="H29" s="159" t="s">
        <v>453</v>
      </c>
      <c r="I29" s="125" t="s">
        <v>454</v>
      </c>
      <c r="J29" s="125" t="s">
        <v>455</v>
      </c>
      <c r="K29" s="135" t="n">
        <v>46266</v>
      </c>
      <c r="L29" s="125" t="s">
        <v>246</v>
      </c>
      <c r="M29" s="103"/>
    </row>
    <row r="30" customFormat="false" ht="22.5" hidden="false" customHeight="true" outlineLevel="0" collapsed="false">
      <c r="A30" s="119"/>
      <c r="B30" s="158" t="n">
        <v>46220</v>
      </c>
      <c r="C30" s="123" t="s">
        <v>137</v>
      </c>
      <c r="D30" s="103" t="s">
        <v>136</v>
      </c>
      <c r="E30" s="125" t="s">
        <v>456</v>
      </c>
      <c r="F30" s="123" t="s">
        <v>392</v>
      </c>
      <c r="G30" s="123" t="s">
        <v>393</v>
      </c>
      <c r="H30" s="159" t="s">
        <v>457</v>
      </c>
      <c r="I30" s="125" t="s">
        <v>395</v>
      </c>
      <c r="J30" s="125" t="s">
        <v>458</v>
      </c>
      <c r="K30" s="135" t="n">
        <v>46244</v>
      </c>
      <c r="L30" s="125" t="s">
        <v>236</v>
      </c>
      <c r="M30" s="103"/>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B3:L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3.88"/>
    <col collapsed="false" customWidth="true" hidden="false" outlineLevel="0" max="2" min="2" style="0" width="21.25"/>
    <col collapsed="false" customWidth="true" hidden="false" outlineLevel="0" max="3" min="3" style="0" width="25.12"/>
    <col collapsed="false" customWidth="true" hidden="false" outlineLevel="0" max="6" min="4" style="0" width="20.51"/>
    <col collapsed="false" customWidth="true" hidden="false" outlineLevel="0" max="7" min="7" style="0" width="3.88"/>
  </cols>
  <sheetData>
    <row r="1" customFormat="false" ht="51" hidden="false" customHeight="true" outlineLevel="0" collapsed="false">
      <c r="A1" s="94"/>
      <c r="B1" s="160" t="s">
        <v>459</v>
      </c>
      <c r="C1" s="160"/>
      <c r="D1" s="161"/>
      <c r="E1" s="161"/>
      <c r="F1" s="161"/>
      <c r="G1" s="161"/>
    </row>
    <row r="2" customFormat="false" ht="22.5" hidden="false" customHeight="true" outlineLevel="0" collapsed="false">
      <c r="A2" s="54"/>
      <c r="B2" s="54"/>
      <c r="C2" s="54"/>
      <c r="D2" s="54"/>
      <c r="E2" s="54"/>
      <c r="F2" s="54"/>
      <c r="G2" s="54"/>
    </row>
    <row r="3" customFormat="false" ht="22.5" hidden="false" customHeight="true" outlineLevel="0" collapsed="false">
      <c r="A3" s="54"/>
      <c r="B3" s="162" t="s">
        <v>460</v>
      </c>
      <c r="C3" s="163" t="s">
        <v>461</v>
      </c>
      <c r="D3" s="163"/>
      <c r="E3" s="163"/>
      <c r="F3" s="164"/>
      <c r="G3" s="54"/>
    </row>
    <row r="4" customFormat="false" ht="22.5" hidden="false" customHeight="true" outlineLevel="0" collapsed="false">
      <c r="A4" s="54"/>
      <c r="B4" s="165" t="s">
        <v>462</v>
      </c>
      <c r="C4" s="165" t="s">
        <v>463</v>
      </c>
      <c r="D4" s="165" t="s">
        <v>464</v>
      </c>
      <c r="E4" s="165" t="s">
        <v>465</v>
      </c>
      <c r="F4" s="165" t="s">
        <v>466</v>
      </c>
      <c r="G4" s="54"/>
    </row>
    <row r="5" customFormat="false" ht="22.5" hidden="false" customHeight="true" outlineLevel="0" collapsed="false">
      <c r="A5" s="54"/>
      <c r="B5" s="166" t="s">
        <v>467</v>
      </c>
      <c r="C5" s="166" t="s">
        <v>467</v>
      </c>
      <c r="D5" s="166" t="s">
        <v>467</v>
      </c>
      <c r="E5" s="166" t="s">
        <v>467</v>
      </c>
      <c r="F5" s="166" t="s">
        <v>467</v>
      </c>
      <c r="G5" s="54"/>
    </row>
    <row r="6" customFormat="false" ht="22.5" hidden="false" customHeight="true" outlineLevel="0" collapsed="false">
      <c r="A6" s="54"/>
      <c r="B6" s="166" t="s">
        <v>57</v>
      </c>
      <c r="C6" s="166" t="s">
        <v>24</v>
      </c>
      <c r="D6" s="166" t="s">
        <v>303</v>
      </c>
      <c r="E6" s="166" t="s">
        <v>304</v>
      </c>
      <c r="F6" s="166" t="s">
        <v>468</v>
      </c>
      <c r="G6" s="54"/>
    </row>
    <row r="7" customFormat="false" ht="22.5" hidden="false" customHeight="true" outlineLevel="0" collapsed="false">
      <c r="A7" s="54"/>
      <c r="B7" s="166" t="s">
        <v>48</v>
      </c>
      <c r="C7" s="166" t="s">
        <v>25</v>
      </c>
      <c r="D7" s="166" t="s">
        <v>295</v>
      </c>
      <c r="E7" s="166" t="s">
        <v>308</v>
      </c>
      <c r="F7" s="166" t="s">
        <v>469</v>
      </c>
      <c r="G7" s="54"/>
    </row>
    <row r="8" customFormat="false" ht="22.5" hidden="false" customHeight="true" outlineLevel="0" collapsed="false">
      <c r="A8" s="54"/>
      <c r="B8" s="166" t="s">
        <v>92</v>
      </c>
      <c r="C8" s="166" t="s">
        <v>26</v>
      </c>
      <c r="D8" s="166" t="s">
        <v>343</v>
      </c>
      <c r="E8" s="166" t="s">
        <v>325</v>
      </c>
      <c r="F8" s="166" t="s">
        <v>344</v>
      </c>
      <c r="G8" s="54"/>
    </row>
    <row r="9" customFormat="false" ht="22.5" hidden="false" customHeight="true" outlineLevel="0" collapsed="false">
      <c r="A9" s="54"/>
      <c r="B9" s="166"/>
      <c r="C9" s="166" t="s">
        <v>28</v>
      </c>
      <c r="D9" s="166" t="s">
        <v>356</v>
      </c>
      <c r="E9" s="166" t="s">
        <v>298</v>
      </c>
      <c r="F9" s="166" t="s">
        <v>296</v>
      </c>
      <c r="G9" s="54"/>
    </row>
    <row r="10" customFormat="false" ht="22.5" hidden="false" customHeight="true" outlineLevel="0" collapsed="false">
      <c r="A10" s="54"/>
      <c r="B10" s="166"/>
      <c r="C10" s="166" t="s">
        <v>27</v>
      </c>
      <c r="D10" s="166" t="s">
        <v>470</v>
      </c>
      <c r="E10" s="166"/>
      <c r="F10" s="166"/>
      <c r="G10" s="54"/>
    </row>
    <row r="11" customFormat="false" ht="22.5" hidden="false" customHeight="true" outlineLevel="0" collapsed="false">
      <c r="A11" s="54"/>
      <c r="B11" s="54"/>
      <c r="C11" s="54"/>
      <c r="D11" s="54"/>
      <c r="E11" s="54"/>
      <c r="F11" s="54"/>
      <c r="G11" s="54"/>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2026-07-31T15:45:25Z</dcterms:created>
  <dc:creator>openpyxl</dc:creator>
  <dc:description/>
  <dc:language>en-US</dc:language>
  <cp:lastModifiedBy/>
  <dcterms:modified xsi:type="dcterms:W3CDTF">2026-07-31T15:45:28Z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