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-Zusammenfassung" sheetId="1" r:id="rId5"/>
    <sheet name="Bilanz" sheetId="2" r:id="rId6"/>
    <sheet name="GuV" sheetId="3" r:id="rId7"/>
    <sheet name="Kennzahlen &amp; Rechner" sheetId="4" r:id="rId8"/>
    <sheet name="Anhang &amp; Checkliste" sheetId="5" r:id="rId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<sst xmlns="http://schemas.openxmlformats.org/spreadsheetml/2006/main" uniqueCount="240">
  <si>
    <t>Dieses Dokument wurde aus Numbers exportiert und jede Tabelle in ein Excel-Arbeitsblatt umgewandelt. Alle anderen Objekte der einzelnen Numbers-Blätter wurden auf eigene Arbeitsblätter übertragen. Beachte, dass die Formelberechnungen in Excel möglicherweise anders sind.</t>
  </si>
  <si>
    <t>Name des Numbers-Blatts</t>
  </si>
  <si>
    <t>Numbers-Tabellenname</t>
  </si>
  <si>
    <t>Name des Excel-Arbeitsblatts</t>
  </si>
  <si>
    <t>Bilanz</t>
  </si>
  <si>
    <t>Tabelle 1</t>
  </si>
  <si>
    <t>JAHRESABSCHLUSS VORLAGE – BILANZ (§ 266 HGB)</t>
  </si>
  <si>
    <t>Stichtagsbetrachtung zum 31.12.  |  Angaben in EUR</t>
  </si>
  <si>
    <t>Geschäftsjahr</t>
  </si>
  <si>
    <t>Vorjahr</t>
  </si>
  <si>
    <t>A K T I V A  (Mittelverwendung)</t>
  </si>
  <si>
    <t>P A S S I V A  (Mittelherkunft)</t>
  </si>
  <si>
    <t>A.  ANLAGEVERMÖGEN</t>
  </si>
  <si>
    <t>A.  EIGENKAPITAL</t>
  </si>
  <si>
    <t>I.   Immaterielle Vermögensgegenstände</t>
  </si>
  <si>
    <t>I.   Gezeichnetes Kapital (Stammkapital)</t>
  </si>
  <si>
    <t>II.  Sachanlagen</t>
  </si>
  <si>
    <t>II.  Kapitalrücklage</t>
  </si>
  <si>
    <t xml:space="preserve">  davon: Grundstücke &amp; Gebäude</t>
  </si>
  <si>
    <t>III. Gewinnrücklagen</t>
  </si>
  <si>
    <t xml:space="preserve">  davon: Technische Anlagen &amp; Maschinen</t>
  </si>
  <si>
    <t>IV.  Gewinn-/Verlustvortrag</t>
  </si>
  <si>
    <t xml:space="preserve">  davon: Betriebs- &amp; Geschäftsausstattung</t>
  </si>
  <si>
    <t>V.   Jahresüberschuss / Jahresfehlbetrag</t>
  </si>
  <si>
    <t>III. Finanzanlagen</t>
  </si>
  <si>
    <t>Summe Eigenkapital</t>
  </si>
  <si>
    <t>Summe Anlagevermögen</t>
  </si>
  <si>
    <t>B.  RÜCKSTELLUNGEN</t>
  </si>
  <si>
    <t>B.  UMLAUFVERMÖGEN</t>
  </si>
  <si>
    <t>Pensionsrückstellungen</t>
  </si>
  <si>
    <t>I.   Vorräte</t>
  </si>
  <si>
    <t>Steuerrückstellungen</t>
  </si>
  <si>
    <t>II.  Forderungen &amp; sonstige Vermögensgegenstände</t>
  </si>
  <si>
    <t>Sonstige Rückstellungen</t>
  </si>
  <si>
    <t xml:space="preserve">  davon: Forderungen aus Lieferungen &amp; Leistungen</t>
  </si>
  <si>
    <t>Summe Rückstellungen</t>
  </si>
  <si>
    <t xml:space="preserve">  davon: Sonstige Forderungen</t>
  </si>
  <si>
    <t>C.  VERBINDLICHKEITEN</t>
  </si>
  <si>
    <t>III. Wertpapiere (Umlaufvermögen)</t>
  </si>
  <si>
    <t>Verbindlichkeiten ggü. Kreditinstituten</t>
  </si>
  <si>
    <t>IV.  Kassenbestand, Bankguthaben &amp; Schecks</t>
  </si>
  <si>
    <t>Verbindlichkeiten aus Lieferungen &amp; Leistungen</t>
  </si>
  <si>
    <t>Summe Umlaufvermögen</t>
  </si>
  <si>
    <t>Sonstige Verbindlichkeiten</t>
  </si>
  <si>
    <t>C.  RECHNUNGSABGRENZUNGSPOSTEN (ARAP)</t>
  </si>
  <si>
    <t>Summe Verbindlichkeiten</t>
  </si>
  <si>
    <t>D.  AKTIVE LATENTE STEUERN</t>
  </si>
  <si>
    <t>D.  RECHNUNGSABGRENZUNGSPOSTEN (PRAP)</t>
  </si>
  <si>
    <t>BILANZSUMME AKTIVA</t>
  </si>
  <si>
    <t>BILANZSUMME PASSIVA</t>
  </si>
  <si>
    <t>PRÜFUNG BILANZGLEICHUNG:  Aktiva GJ = Passiva GJ  →  Differenz: =C24-H24  |  Vorjahr: =D24-I24</t>
  </si>
  <si>
    <t>Bilanzdifferenz Aktiva – Passiva (Geschäftsjahr):</t>
  </si>
  <si>
    <t>Farblegende:  Blau = Eingabewert (anpassbar)  |  Schwarz = Formel  |  Gelb = Pflichtfeld / Hinweis</t>
  </si>
  <si>
    <t>GuV</t>
  </si>
  <si>
    <t>GEWINN- UND VERLUSTRECHNUNG (§ 275 HGB) – Gesamtkostenverfahren</t>
  </si>
  <si>
    <t>Periodenbetrachtung 01.01. – 31.12.  |  Angaben in EUR</t>
  </si>
  <si>
    <t>ERTRÄGE</t>
  </si>
  <si>
    <t>1.  Umsatzerlöse</t>
  </si>
  <si>
    <t>2.  Erhöhung/Minderung des Bestands an fertigen und unfertigen Erzeugnissen</t>
  </si>
  <si>
    <t>3.  Andere aktivierte Eigenleistungen</t>
  </si>
  <si>
    <t>4.  Sonstige betriebliche Erträge</t>
  </si>
  <si>
    <t>Gesamtleistung (1+2+3+4)</t>
  </si>
  <si>
    <t>AUFWENDUNGEN</t>
  </si>
  <si>
    <t>5.  Materialaufwand</t>
  </si>
  <si>
    <t>6.  Personalaufwand</t>
  </si>
  <si>
    <t xml:space="preserve">    a) Löhne &amp; Gehälter</t>
  </si>
  <si>
    <t xml:space="preserve">    b) Soziale Abgaben &amp; Aufwendungen für Altersversorgung</t>
  </si>
  <si>
    <t>7.  Abschreibungen (AfA)</t>
  </si>
  <si>
    <t>8.  Sonstige betriebliche Aufwendungen</t>
  </si>
  <si>
    <t>Summe Betrieblicher Aufwand (5+6+7+8)</t>
  </si>
  <si>
    <t>BETRIEBSERGEBNIS (EBIT)</t>
  </si>
  <si>
    <t>FINANZERGEBNIS</t>
  </si>
  <si>
    <t>10. Erträge aus Beteiligungen &amp; Wertpapieren</t>
  </si>
  <si>
    <t>11. Zinsen und ähnliche Erträge</t>
  </si>
  <si>
    <t>12. Zinsen und ähnliche Aufwendungen</t>
  </si>
  <si>
    <t>Finanzergebnis (10+11-12)</t>
  </si>
  <si>
    <t>ERGEBNIS DER GEWÖHNLICHEN GESCHÄFTSTÄTIGKEIT</t>
  </si>
  <si>
    <t>STEUERN</t>
  </si>
  <si>
    <t>13. Steuern vom Einkommen und vom Ertrag</t>
  </si>
  <si>
    <t>14. Sonstige Steuern</t>
  </si>
  <si>
    <t>JAHRESÜBERSCHUSS / JAHRESFEHLBETRAG</t>
  </si>
  <si>
    <t>Hinweis: Der Jahresüberschuss ist in die Bilanz (Eigenkapital / Gewinnvortrag) zu übertragen.</t>
  </si>
  <si>
    <t>Kennzahlen &amp; Rechner</t>
  </si>
  <si>
    <t>BILANZKENNZAHLEN &amp; BILANZ-STRUKTUR-RECHNER</t>
  </si>
  <si>
    <t>Automatisch verknüpft mit Bilanz &amp; GuV  |  Eingaben in Blau, Formeln in Schwarz</t>
  </si>
  <si>
    <t>1. VERKNÜPFTE BILANZKENNZAHLEN  (Werte aus Bilanz &amp; GuV)</t>
  </si>
  <si>
    <t>Kennzahl</t>
  </si>
  <si>
    <t>Benchmark / Richtwert</t>
  </si>
  <si>
    <t>Bewertung</t>
  </si>
  <si>
    <t>Bilanzsumme (EUR)</t>
  </si>
  <si>
    <t>—</t>
  </si>
  <si>
    <t>Eigenkapital (EUR)</t>
  </si>
  <si>
    <t>Fremdkapital (EUR)</t>
  </si>
  <si>
    <t>Eigenkapitalquote (%)</t>
  </si>
  <si>
    <t>20 % – 30 % (Mittelstand)</t>
  </si>
  <si>
    <t>EK-Quote &gt; 30%: stabil | 20-30%: akzeptabel | &lt; 20%: kritisch</t>
  </si>
  <si>
    <t>Fremdkapitalquote (%)</t>
  </si>
  <si>
    <t>&lt; 70 %</t>
  </si>
  <si>
    <t>Anlagenintensität (%)</t>
  </si>
  <si>
    <t>Branchenabhängig</t>
  </si>
  <si>
    <t>Liquidität 1. Grades – Barliquidität (%)</t>
  </si>
  <si>
    <t>&gt; 20 %</t>
  </si>
  <si>
    <t>Liquidität 2. Grades – Einzugsliquidität (%)</t>
  </si>
  <si>
    <t>&gt; 100 %</t>
  </si>
  <si>
    <t>&lt; 100 %: potenzielle Liquiditätsprobleme</t>
  </si>
  <si>
    <t>Verschuldungsgrad (Fremdkap. / Eigenkapital)</t>
  </si>
  <si>
    <t>&lt; 2,0x</t>
  </si>
  <si>
    <t>&lt; 1x: sehr gut | 1-2x: ok | &gt; 2x: risikoreich</t>
  </si>
  <si>
    <t>Umsatzerlöse (EUR)</t>
  </si>
  <si>
    <t>EBIT (EUR)</t>
  </si>
  <si>
    <t>&gt; 0</t>
  </si>
  <si>
    <t>EBIT-Marge (%)</t>
  </si>
  <si>
    <t>&gt; 5 %</t>
  </si>
  <si>
    <t>Positives EBIT ist Mindestanforderung</t>
  </si>
  <si>
    <t>Jahresüberschuss (EUR)</t>
  </si>
  <si>
    <t>Positiv = Gewinn | Negativ = Fehlbetrag</t>
  </si>
  <si>
    <t>Umsatzrentabilität (%)</t>
  </si>
  <si>
    <t>&gt; 3 %</t>
  </si>
  <si>
    <t>Eigenkapitalrentabilität (%)</t>
  </si>
  <si>
    <t>&gt; 8 %</t>
  </si>
  <si>
    <t>Gesamtkapitalrentabilität (%)</t>
  </si>
  <si>
    <t>2. INTERAKTIVER BILANZ-STRUKTUR-RECHNER  (unabhängige Eingabe)</t>
  </si>
  <si>
    <t>Geben Sie Ihre aggregierten Bilanzzahlen ein, um sofort zu prüfen, ob Ihre Bilanz ausgeglichen ist und wie Ihre Eigenkapitalquote ausfällt.</t>
  </si>
  <si>
    <t>AKTIVA</t>
  </si>
  <si>
    <t>Anlagevermögen (EUR)</t>
  </si>
  <si>
    <t>Umlaufvermögen (EUR)</t>
  </si>
  <si>
    <t>PASSIVA</t>
  </si>
  <si>
    <t>Fremdkapital &amp; Rückstellungen (EUR)</t>
  </si>
  <si>
    <t>ERGEBNIS-CHECK</t>
  </si>
  <si>
    <t>Bilanzsumme Aktiva (EUR)</t>
  </si>
  <si>
    <t>Bilanzsumme Passiva (EUR)</t>
  </si>
  <si>
    <t>Differenz (Aktiva – Passiva)</t>
  </si>
  <si>
    <t>Ausgeglichen</t>
  </si>
  <si>
    <t>Zielwert: 20 % – 30 % (Mittelstand)</t>
  </si>
  <si>
    <t>Gesamtkapital (EUR)</t>
  </si>
  <si>
    <t>3. HÄUFIGE STOLPERSTEINE BEI DER JAHRESABSCHLUSS-ERSTELLUNG</t>
  </si>
  <si>
    <t>Stolperstein</t>
  </si>
  <si>
    <t>Erläuterung</t>
  </si>
  <si>
    <t>Risiko</t>
  </si>
  <si>
    <t>Rechnungsabgrenzungsposten (ARAP/PRAP)</t>
  </si>
  <si>
    <t>Abgrenzung periodenfremder Aufwendungen/Erträge – oft vergessen</t>
  </si>
  <si>
    <t>Hoch</t>
  </si>
  <si>
    <t>Unvollständige Rückstellungen</t>
  </si>
  <si>
    <t>Urlaub, ausstehende Rechnungen, drohende Verluste</t>
  </si>
  <si>
    <t>Fehlerhafte Abschreibungen (AfA)</t>
  </si>
  <si>
    <t>Korrekte Nutzungsdauer &amp; Methode (linear/degressiv) prüfen</t>
  </si>
  <si>
    <t>Niederstwertprinzip Vorräte</t>
  </si>
  <si>
    <t>Bei Wertminderungen zwingend auf niedrigeren Wert abschreiben</t>
  </si>
  <si>
    <t>Mittel</t>
  </si>
  <si>
    <t>Periodengerechte Abgrenzung</t>
  </si>
  <si>
    <t>Aufwand/Ertrag der Periode zuordnen, unabhängig vom Zahlungsfluss</t>
  </si>
  <si>
    <t>Bewertung aktiver/passiver lat. Steuern</t>
  </si>
  <si>
    <t>Temporäre Differenzen zwischen Handels- und Steuerrecht beachten</t>
  </si>
  <si>
    <t>Anhang &amp; Lagebericht</t>
  </si>
  <si>
    <t>Ab mittlerer GmbH: Pflicht! Bilanzmethoden &amp; Risiken erläutern</t>
  </si>
  <si>
    <t>Farblegende:  Blau = Eingabewert  |  Schwarz = Formel  |  Grün = Verknüpfung aus Bilanz/GuV  |  Gelb = Eingabe-Zelle / Hinweis</t>
  </si>
  <si>
    <t>Anhang &amp; Checkliste</t>
  </si>
  <si>
    <t>ANHANG, LAGEBERICHT &amp; ABSCHLUSSPROZESS-CHECKLISTE</t>
  </si>
  <si>
    <t>Pflichtbestandteile nach HGB  |  Für GmbH, UG, AG</t>
  </si>
  <si>
    <t>ABSCHLUSSPROZESS – 3 PHASEN</t>
  </si>
  <si>
    <t>Phase</t>
  </si>
  <si>
    <t>Aufgabe</t>
  </si>
  <si>
    <t>Details / Hinweise</t>
  </si>
  <si>
    <t>Verantwortlich</t>
  </si>
  <si>
    <t>Status</t>
  </si>
  <si>
    <t>1</t>
  </si>
  <si>
    <t>Vorbereitende Abschlussbuchungen</t>
  </si>
  <si>
    <t>Abgrenzungen, Rückstellungen, Korrekturen</t>
  </si>
  <si>
    <t>Buchhalter/Steuerberater</t>
  </si>
  <si>
    <t>Offen</t>
  </si>
  <si>
    <t>Inventur &amp; Bewertung</t>
  </si>
  <si>
    <t>Bestandsaufnahme, Niederstwertprinzip anwenden</t>
  </si>
  <si>
    <t>Lager / Controlling</t>
  </si>
  <si>
    <t>Kontenabstimmung</t>
  </si>
  <si>
    <t>Debitoren, Kreditoren, Konten abstimmen</t>
  </si>
  <si>
    <t>Buchhalter</t>
  </si>
  <si>
    <t>2</t>
  </si>
  <si>
    <t>Anlagengitter &amp; AfA-Berechnung</t>
  </si>
  <si>
    <t>Zugänge, Abgänge, Abschreibungen prüfen</t>
  </si>
  <si>
    <t>Controlling</t>
  </si>
  <si>
    <t>ARAP / PRAP buchen</t>
  </si>
  <si>
    <t>Periodenabgrenzung sicherstellen</t>
  </si>
  <si>
    <t>Rückstellungen bilden</t>
  </si>
  <si>
    <t>Urlaub, ausstehende Rechnungen, Garantien</t>
  </si>
  <si>
    <t>3</t>
  </si>
  <si>
    <t>Bilanz erstellen</t>
  </si>
  <si>
    <t>Gemäß § 266 HGB, Gliederung prüfen</t>
  </si>
  <si>
    <t>Steuerberater</t>
  </si>
  <si>
    <t>GuV erstellen</t>
  </si>
  <si>
    <t>Gemäß § 275 HGB, GKV oder UKV</t>
  </si>
  <si>
    <t>Anhang verfassen</t>
  </si>
  <si>
    <t>Pflicht für Kapitalgesellschaften (außer Kleinstkapitalges.)</t>
  </si>
  <si>
    <t>Lagebericht erstellen</t>
  </si>
  <si>
    <t>Pflicht ab mittlerer GmbH / AG</t>
  </si>
  <si>
    <t>Management / Steuerberater</t>
  </si>
  <si>
    <t>Feststellung &amp; Offenlegung</t>
  </si>
  <si>
    <t>Bundesanzeiger / Handelsregister</t>
  </si>
  <si>
    <t>Geschäftsführung</t>
  </si>
  <si>
    <t>PFLICHTINHALTE DES ANHANGS (§ 284 – 288 HGB)</t>
  </si>
  <si>
    <t>Nr.</t>
  </si>
  <si>
    <t>Anhangspunkt</t>
  </si>
  <si>
    <t>Hinweis / Details</t>
  </si>
  <si>
    <t>Relevanz</t>
  </si>
  <si>
    <t>Erledigt</t>
  </si>
  <si>
    <t>Bilanzierungs- und Bewertungsmethoden</t>
  </si>
  <si>
    <t>Welche Methoden wurden angewendet? Abweichungen begründen</t>
  </si>
  <si>
    <t>Pflicht</t>
  </si>
  <si>
    <t>Angaben zu Abschreibungen</t>
  </si>
  <si>
    <t>Methode, Nutzungsdauer, außerplanmäßige Abschreibungen</t>
  </si>
  <si>
    <t>Angaben zu Verbindlichkeiten (Fristigkeit)</t>
  </si>
  <si>
    <t>Restlaufzeiten &lt; 1 Jahr, 1–5 Jahre, &gt; 5 Jahre</t>
  </si>
  <si>
    <t>4</t>
  </si>
  <si>
    <t>Angaben zu Haftungsverhältnissen</t>
  </si>
  <si>
    <t>Bürgschaften, Garantien, Eventualverbindlichkeiten</t>
  </si>
  <si>
    <t>5</t>
  </si>
  <si>
    <t>Angaben zu Organen der Gesellschaft</t>
  </si>
  <si>
    <t>Geschäftsführer / Vorstand / Aufsichtsrat</t>
  </si>
  <si>
    <t>GmbH/AG Pflicht</t>
  </si>
  <si>
    <t>6</t>
  </si>
  <si>
    <t>Durchschnittliche Arbeitnehmerzahl</t>
  </si>
  <si>
    <t>Im Geschäftsjahr beschäftigte Mitarbeiter</t>
  </si>
  <si>
    <t>7</t>
  </si>
  <si>
    <t>Angaben zu außergewöhnlichen Vorgängen</t>
  </si>
  <si>
    <t>Wesentliche Ereignisse nach Bilanzstichtag</t>
  </si>
  <si>
    <t>8</t>
  </si>
  <si>
    <t>Angaben zum Konsolidierungskreis</t>
  </si>
  <si>
    <t>Bei Konzernabschluss: Tochtergesellschaften</t>
  </si>
  <si>
    <t>Ggf. Pflicht</t>
  </si>
  <si>
    <t>FORMELREFERENZ – EIGENKAPITALQUOTE</t>
  </si>
  <si>
    <t>Formel:</t>
  </si>
  <si>
    <t>Eigenkapitalquote (%) = Eigenkapital / Gesamtkapital × 100</t>
  </si>
  <si>
    <t>Eigenkapital:</t>
  </si>
  <si>
    <t>Mittel der Eigentümer + im Unternehmen verbliebene Gewinne</t>
  </si>
  <si>
    <t>Gesamtkapital:</t>
  </si>
  <si>
    <t>Eigenkapital + Fremdkapital = Bilanzsumme</t>
  </si>
  <si>
    <t>Benchmark:</t>
  </si>
  <si>
    <t>Gesund: 20–30 % | Kritisch: &lt; 20 % | Sehr gut: &gt; 30 %</t>
  </si>
  <si>
    <t>Quelle:</t>
  </si>
  <si>
    <t>§ 266, § 275 HGB | Automatisch berechnet auf Sheet 'Kennzahlen &amp; Rechner'</t>
  </si>
  <si>
    <t>Farblegende:  Phase 1 = Blau  |  Phase 2 = Grün  |  Phase 3 = Gelb  |  Pflicht = Mindestanforderung HGB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</si>
</sst>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#,##0;(#,##0);&quot;-&quot;"/>
    <numFmt numFmtId="60" formatCode="0.0%;(0.0%);&quot;-&quot;"/>
    <numFmt numFmtId="61" formatCode="0.0;(0.0);&quot;-&quot;"/>
    <numFmt numFmtId="62" formatCode="0.00&quot;x&quot;;(0.00&quot;x)&quot;;&quot;-&quot;"/>
  </numFmts>
  <fonts count="17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sz val="15"/>
      <color indexed="12"/>
      <name val="Arial"/>
    </font>
    <font>
      <sz val="10"/>
      <color indexed="12"/>
      <name val="Arial"/>
    </font>
    <font>
      <sz val="10"/>
      <color indexed="11"/>
      <name val="Arial"/>
    </font>
    <font>
      <sz val="11"/>
      <color indexed="12"/>
      <name val="Arial"/>
    </font>
    <font>
      <sz val="10"/>
      <color indexed="8"/>
      <name val="Arial"/>
    </font>
    <font>
      <sz val="11"/>
      <color indexed="8"/>
      <name val="Arial"/>
    </font>
    <font>
      <sz val="9"/>
      <color indexed="8"/>
      <name val="Arial"/>
    </font>
    <font>
      <sz val="14"/>
      <color indexed="12"/>
      <name val="Arial"/>
    </font>
    <font>
      <sz val="10"/>
      <color indexed="19"/>
      <name val="Arial"/>
    </font>
    <font>
      <sz val="8"/>
      <color indexed="8"/>
      <name val="Arial"/>
    </font>
    <font>
      <sz val="11"/>
      <color indexed="11"/>
      <name val="Arial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38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14"/>
      </right>
      <top/>
      <bottom style="thin">
        <color indexed="8"/>
      </bottom>
      <diagonal/>
    </border>
    <border>
      <left/>
      <right/>
      <top/>
      <bottom style="thin">
        <color indexed="1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14"/>
      </right>
      <top style="thin">
        <color indexed="8"/>
      </top>
      <bottom style="medium">
        <color indexed="8"/>
      </bottom>
      <diagonal/>
    </border>
    <border>
      <left style="thin">
        <color indexed="14"/>
      </left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14"/>
      </right>
      <top style="medium">
        <color indexed="8"/>
      </top>
      <bottom style="thin">
        <color indexed="8"/>
      </bottom>
      <diagonal/>
    </border>
    <border>
      <left style="thin">
        <color indexed="14"/>
      </left>
      <right/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 style="thin">
        <color indexed="14"/>
      </right>
      <top/>
      <bottom/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/>
      <bottom style="thin">
        <color indexed="8"/>
      </bottom>
      <diagonal/>
    </border>
    <border>
      <left style="thin">
        <color indexed="1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4"/>
      </right>
      <top style="thin">
        <color indexed="8"/>
      </top>
      <bottom style="thin">
        <color indexed="14"/>
      </bottom>
      <diagonal/>
    </border>
    <border>
      <left/>
      <right style="thin">
        <color indexed="14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4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center"/>
    </xf>
    <xf numFmtId="1" fontId="6" fillId="4" borderId="2" applyNumberFormat="1" applyFont="1" applyFill="1" applyBorder="1" applyAlignment="1" applyProtection="0">
      <alignment horizontal="center" vertical="center"/>
    </xf>
    <xf numFmtId="1" fontId="6" fillId="4" borderId="3" applyNumberFormat="1" applyFont="1" applyFill="1" applyBorder="1" applyAlignment="1" applyProtection="0">
      <alignment horizontal="center" vertical="center"/>
    </xf>
    <xf numFmtId="49" fontId="7" fillId="5" borderId="4" applyNumberFormat="1" applyFont="1" applyFill="1" applyBorder="1" applyAlignment="1" applyProtection="0">
      <alignment horizontal="center" vertical="center"/>
    </xf>
    <xf numFmtId="1" fontId="7" fillId="5" borderId="5" applyNumberFormat="1" applyFont="1" applyFill="1" applyBorder="1" applyAlignment="1" applyProtection="0">
      <alignment horizontal="center" vertical="center"/>
    </xf>
    <xf numFmtId="1" fontId="7" fillId="5" borderId="6" applyNumberFormat="1" applyFont="1" applyFill="1" applyBorder="1" applyAlignment="1" applyProtection="0">
      <alignment horizontal="center" vertical="center"/>
    </xf>
    <xf numFmtId="0" fontId="0" fillId="6" borderId="7" applyNumberFormat="0" applyFont="1" applyFill="1" applyBorder="1" applyAlignment="1" applyProtection="0">
      <alignment vertical="bottom"/>
    </xf>
    <xf numFmtId="0" fontId="0" fillId="6" borderId="8" applyNumberFormat="0" applyFont="1" applyFill="1" applyBorder="1" applyAlignment="1" applyProtection="0">
      <alignment vertical="bottom"/>
    </xf>
    <xf numFmtId="49" fontId="7" fillId="5" borderId="5" applyNumberFormat="1" applyFont="1" applyFill="1" applyBorder="1" applyAlignment="1" applyProtection="0">
      <alignment horizontal="center" vertical="center"/>
    </xf>
    <xf numFmtId="0" fontId="0" fillId="6" borderId="9" applyNumberFormat="0" applyFont="1" applyFill="1" applyBorder="1" applyAlignment="1" applyProtection="0">
      <alignment vertical="bottom"/>
    </xf>
    <xf numFmtId="49" fontId="7" fillId="5" borderId="6" applyNumberFormat="1" applyFont="1" applyFill="1" applyBorder="1" applyAlignment="1" applyProtection="0">
      <alignment horizontal="center" vertical="center"/>
    </xf>
    <xf numFmtId="0" fontId="0" fillId="6" borderId="10" applyNumberFormat="0" applyFont="1" applyFill="1" applyBorder="1" applyAlignment="1" applyProtection="0">
      <alignment vertical="bottom"/>
    </xf>
    <xf numFmtId="0" fontId="0" fillId="6" borderId="1" applyNumberFormat="0" applyFont="1" applyFill="1" applyBorder="1" applyAlignment="1" applyProtection="0">
      <alignment vertical="bottom"/>
    </xf>
    <xf numFmtId="1" fontId="8" fillId="7" borderId="5" applyNumberFormat="1" applyFont="1" applyFill="1" applyBorder="1" applyAlignment="1" applyProtection="0">
      <alignment horizontal="center" vertical="center"/>
    </xf>
    <xf numFmtId="0" fontId="0" fillId="6" borderId="3" applyNumberFormat="0" applyFont="1" applyFill="1" applyBorder="1" applyAlignment="1" applyProtection="0">
      <alignment vertical="bottom"/>
    </xf>
    <xf numFmtId="1" fontId="8" fillId="7" borderId="6" applyNumberFormat="1" applyFont="1" applyFill="1" applyBorder="1" applyAlignment="1" applyProtection="0">
      <alignment horizontal="center" vertical="center"/>
    </xf>
    <xf numFmtId="49" fontId="9" fillId="4" borderId="4" applyNumberFormat="1" applyFont="1" applyFill="1" applyBorder="1" applyAlignment="1" applyProtection="0">
      <alignment horizontal="left" vertical="center"/>
    </xf>
    <xf numFmtId="1" fontId="9" fillId="4" borderId="5" applyNumberFormat="1" applyFont="1" applyFill="1" applyBorder="1" applyAlignment="1" applyProtection="0">
      <alignment horizontal="left" vertical="center"/>
    </xf>
    <xf numFmtId="49" fontId="9" fillId="4" borderId="5" applyNumberFormat="1" applyFont="1" applyFill="1" applyBorder="1" applyAlignment="1" applyProtection="0">
      <alignment horizontal="left" vertical="center"/>
    </xf>
    <xf numFmtId="1" fontId="9" fillId="4" borderId="6" applyNumberFormat="1" applyFont="1" applyFill="1" applyBorder="1" applyAlignment="1" applyProtection="0">
      <alignment horizontal="left" vertical="center"/>
    </xf>
    <xf numFmtId="49" fontId="7" fillId="5" borderId="4" applyNumberFormat="1" applyFont="1" applyFill="1" applyBorder="1" applyAlignment="1" applyProtection="0">
      <alignment horizontal="left" vertical="center"/>
    </xf>
    <xf numFmtId="1" fontId="7" fillId="5" borderId="5" applyNumberFormat="1" applyFont="1" applyFill="1" applyBorder="1" applyAlignment="1" applyProtection="0">
      <alignment horizontal="left" vertical="center"/>
    </xf>
    <xf numFmtId="1" fontId="7" fillId="5" borderId="11" applyNumberFormat="1" applyFont="1" applyFill="1" applyBorder="1" applyAlignment="1" applyProtection="0">
      <alignment horizontal="left" vertical="center"/>
    </xf>
    <xf numFmtId="49" fontId="7" fillId="5" borderId="5" applyNumberFormat="1" applyFont="1" applyFill="1" applyBorder="1" applyAlignment="1" applyProtection="0">
      <alignment horizontal="left" vertical="center"/>
    </xf>
    <xf numFmtId="1" fontId="7" fillId="5" borderId="12" applyNumberFormat="1" applyFont="1" applyFill="1" applyBorder="1" applyAlignment="1" applyProtection="0">
      <alignment horizontal="left" vertical="center"/>
    </xf>
    <xf numFmtId="49" fontId="10" fillId="6" borderId="4" applyNumberFormat="1" applyFont="1" applyFill="1" applyBorder="1" applyAlignment="1" applyProtection="0">
      <alignment horizontal="left" vertical="center"/>
    </xf>
    <xf numFmtId="0" fontId="0" fillId="6" borderId="13" applyNumberFormat="0" applyFont="1" applyFill="1" applyBorder="1" applyAlignment="1" applyProtection="0">
      <alignment vertical="bottom"/>
    </xf>
    <xf numFmtId="59" fontId="8" fillId="6" borderId="14" applyNumberFormat="1" applyFont="1" applyFill="1" applyBorder="1" applyAlignment="1" applyProtection="0">
      <alignment vertical="bottom"/>
    </xf>
    <xf numFmtId="1" fontId="0" fillId="4" borderId="5" applyNumberFormat="1" applyFont="1" applyFill="1" applyBorder="1" applyAlignment="1" applyProtection="0">
      <alignment vertical="bottom"/>
    </xf>
    <xf numFmtId="49" fontId="10" fillId="6" borderId="5" applyNumberFormat="1" applyFont="1" applyFill="1" applyBorder="1" applyAlignment="1" applyProtection="0">
      <alignment horizontal="left" vertical="center"/>
    </xf>
    <xf numFmtId="59" fontId="8" fillId="6" borderId="15" applyNumberFormat="1" applyFont="1" applyFill="1" applyBorder="1" applyAlignment="1" applyProtection="0">
      <alignment vertical="bottom"/>
    </xf>
    <xf numFmtId="49" fontId="10" fillId="8" borderId="4" applyNumberFormat="1" applyFont="1" applyFill="1" applyBorder="1" applyAlignment="1" applyProtection="0">
      <alignment horizontal="left" vertical="center"/>
    </xf>
    <xf numFmtId="0" fontId="0" fillId="6" borderId="16" applyNumberFormat="0" applyFont="1" applyFill="1" applyBorder="1" applyAlignment="1" applyProtection="0">
      <alignment vertical="bottom"/>
    </xf>
    <xf numFmtId="59" fontId="8" fillId="8" borderId="14" applyNumberFormat="1" applyFont="1" applyFill="1" applyBorder="1" applyAlignment="1" applyProtection="0">
      <alignment vertical="bottom"/>
    </xf>
    <xf numFmtId="49" fontId="10" fillId="8" borderId="5" applyNumberFormat="1" applyFont="1" applyFill="1" applyBorder="1" applyAlignment="1" applyProtection="0">
      <alignment horizontal="left" vertical="center"/>
    </xf>
    <xf numFmtId="59" fontId="8" fillId="8" borderId="15" applyNumberFormat="1" applyFont="1" applyFill="1" applyBorder="1" applyAlignment="1" applyProtection="0">
      <alignment vertical="bottom"/>
    </xf>
    <xf numFmtId="49" fontId="10" fillId="7" borderId="17" applyNumberFormat="1" applyFont="1" applyFill="1" applyBorder="1" applyAlignment="1" applyProtection="0">
      <alignment horizontal="left" vertical="center"/>
    </xf>
    <xf numFmtId="0" fontId="0" fillId="6" borderId="2" applyNumberFormat="0" applyFont="1" applyFill="1" applyBorder="1" applyAlignment="1" applyProtection="0">
      <alignment vertical="bottom"/>
    </xf>
    <xf numFmtId="59" fontId="10" fillId="7" borderId="18" applyNumberFormat="1" applyFont="1" applyFill="1" applyBorder="1" applyAlignment="1" applyProtection="0">
      <alignment vertical="bottom"/>
    </xf>
    <xf numFmtId="59" fontId="10" fillId="7" borderId="19" applyNumberFormat="1" applyFont="1" applyFill="1" applyBorder="1" applyAlignment="1" applyProtection="0">
      <alignment vertical="bottom"/>
    </xf>
    <xf numFmtId="49" fontId="10" fillId="7" borderId="20" applyNumberFormat="1" applyFont="1" applyFill="1" applyBorder="1" applyAlignment="1" applyProtection="0">
      <alignment horizontal="left" vertical="center"/>
    </xf>
    <xf numFmtId="49" fontId="7" fillId="5" borderId="21" applyNumberFormat="1" applyFont="1" applyFill="1" applyBorder="1" applyAlignment="1" applyProtection="0">
      <alignment horizontal="left" vertical="center"/>
    </xf>
    <xf numFmtId="1" fontId="7" fillId="5" borderId="22" applyNumberFormat="1" applyFont="1" applyFill="1" applyBorder="1" applyAlignment="1" applyProtection="0">
      <alignment horizontal="left" vertical="center"/>
    </xf>
    <xf numFmtId="1" fontId="7" fillId="5" borderId="23" applyNumberFormat="1" applyFont="1" applyFill="1" applyBorder="1" applyAlignment="1" applyProtection="0">
      <alignment horizontal="left" vertical="center"/>
    </xf>
    <xf numFmtId="49" fontId="7" fillId="5" borderId="24" applyNumberFormat="1" applyFont="1" applyFill="1" applyBorder="1" applyAlignment="1" applyProtection="0">
      <alignment horizontal="left" vertical="center"/>
    </xf>
    <xf numFmtId="59" fontId="10" fillId="7" borderId="14" applyNumberFormat="1" applyFont="1" applyFill="1" applyBorder="1" applyAlignment="1" applyProtection="0">
      <alignment vertical="bottom"/>
    </xf>
    <xf numFmtId="49" fontId="10" fillId="8" borderId="24" applyNumberFormat="1" applyFont="1" applyFill="1" applyBorder="1" applyAlignment="1" applyProtection="0">
      <alignment horizontal="left" vertical="center"/>
    </xf>
    <xf numFmtId="59" fontId="10" fillId="7" borderId="15" applyNumberFormat="1" applyFont="1" applyFill="1" applyBorder="1" applyAlignment="1" applyProtection="0">
      <alignment vertical="bottom"/>
    </xf>
    <xf numFmtId="49" fontId="10" fillId="6" borderId="21" applyNumberFormat="1" applyFont="1" applyFill="1" applyBorder="1" applyAlignment="1" applyProtection="0">
      <alignment horizontal="left" vertical="center"/>
    </xf>
    <xf numFmtId="59" fontId="9" fillId="4" borderId="25" applyNumberFormat="1" applyFont="1" applyFill="1" applyBorder="1" applyAlignment="1" applyProtection="0">
      <alignment vertical="bottom"/>
    </xf>
    <xf numFmtId="59" fontId="9" fillId="4" borderId="26" applyNumberFormat="1" applyFont="1" applyFill="1" applyBorder="1" applyAlignment="1" applyProtection="0">
      <alignment vertical="bottom"/>
    </xf>
    <xf numFmtId="49" fontId="10" fillId="9" borderId="4" applyNumberFormat="1" applyFont="1" applyFill="1" applyBorder="1" applyAlignment="1" applyProtection="0">
      <alignment horizontal="center" vertical="center"/>
    </xf>
    <xf numFmtId="1" fontId="10" fillId="9" borderId="5" applyNumberFormat="1" applyFont="1" applyFill="1" applyBorder="1" applyAlignment="1" applyProtection="0">
      <alignment horizontal="center" vertical="center"/>
    </xf>
    <xf numFmtId="1" fontId="10" fillId="9" borderId="6" applyNumberFormat="1" applyFont="1" applyFill="1" applyBorder="1" applyAlignment="1" applyProtection="0">
      <alignment horizontal="center" vertical="center"/>
    </xf>
    <xf numFmtId="49" fontId="10" fillId="7" borderId="4" applyNumberFormat="1" applyFont="1" applyFill="1" applyBorder="1" applyAlignment="1" applyProtection="0">
      <alignment vertical="bottom"/>
    </xf>
    <xf numFmtId="1" fontId="10" fillId="7" borderId="5" applyNumberFormat="1" applyFont="1" applyFill="1" applyBorder="1" applyAlignment="1" applyProtection="0">
      <alignment vertical="bottom"/>
    </xf>
    <xf numFmtId="59" fontId="11" fillId="4" borderId="5" applyNumberFormat="1" applyFont="1" applyFill="1" applyBorder="1" applyAlignment="1" applyProtection="0">
      <alignment horizontal="center" vertical="center"/>
    </xf>
    <xf numFmtId="0" fontId="0" fillId="6" borderId="27" applyNumberFormat="0" applyFont="1" applyFill="1" applyBorder="1" applyAlignment="1" applyProtection="0">
      <alignment vertical="bottom"/>
    </xf>
    <xf numFmtId="49" fontId="12" fillId="8" borderId="8" applyNumberFormat="1" applyFont="1" applyFill="1" applyBorder="1" applyAlignment="1" applyProtection="0">
      <alignment horizontal="center" vertical="center"/>
    </xf>
    <xf numFmtId="1" fontId="12" fillId="8" borderId="13" applyNumberFormat="1" applyFont="1" applyFill="1" applyBorder="1" applyAlignment="1" applyProtection="0">
      <alignment horizontal="center" vertical="center"/>
    </xf>
    <xf numFmtId="1" fontId="12" fillId="8" borderId="9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49" fontId="13" fillId="4" borderId="1" applyNumberFormat="1" applyFont="1" applyFill="1" applyBorder="1" applyAlignment="1" applyProtection="0">
      <alignment horizontal="center" vertical="center"/>
    </xf>
    <xf numFmtId="1" fontId="13" fillId="4" borderId="2" applyNumberFormat="1" applyFont="1" applyFill="1" applyBorder="1" applyAlignment="1" applyProtection="0">
      <alignment horizontal="center" vertical="center"/>
    </xf>
    <xf numFmtId="0" fontId="0" borderId="28" applyNumberFormat="0" applyFont="1" applyFill="0" applyBorder="1" applyAlignment="1" applyProtection="0">
      <alignment vertical="bottom"/>
    </xf>
    <xf numFmtId="49" fontId="7" fillId="5" borderId="4" applyNumberFormat="1" applyFont="1" applyFill="1" applyBorder="1" applyAlignment="1" applyProtection="0">
      <alignment vertical="bottom"/>
    </xf>
    <xf numFmtId="1" fontId="7" fillId="5" borderId="5" applyNumberFormat="1" applyFont="1" applyFill="1" applyBorder="1" applyAlignment="1" applyProtection="0">
      <alignment vertical="bottom"/>
    </xf>
    <xf numFmtId="1" fontId="7" fillId="5" borderId="11" applyNumberFormat="1" applyFont="1" applyFill="1" applyBorder="1" applyAlignment="1" applyProtection="0">
      <alignment vertical="bottom"/>
    </xf>
    <xf numFmtId="49" fontId="7" fillId="5" borderId="24" applyNumberFormat="1" applyFont="1" applyFill="1" applyBorder="1" applyAlignment="1" applyProtection="0">
      <alignment vertical="bottom"/>
    </xf>
    <xf numFmtId="1" fontId="7" fillId="5" borderId="22" applyNumberFormat="1" applyFont="1" applyFill="1" applyBorder="1" applyAlignment="1" applyProtection="0">
      <alignment vertical="bottom"/>
    </xf>
    <xf numFmtId="49" fontId="10" fillId="7" borderId="29" applyNumberFormat="1" applyFont="1" applyFill="1" applyBorder="1" applyAlignment="1" applyProtection="0">
      <alignment horizontal="left" vertical="center"/>
    </xf>
    <xf numFmtId="59" fontId="10" fillId="7" borderId="30" applyNumberFormat="1" applyFont="1" applyFill="1" applyBorder="1" applyAlignment="1" applyProtection="0">
      <alignment vertical="bottom"/>
    </xf>
    <xf numFmtId="49" fontId="9" fillId="4" borderId="4" applyNumberFormat="1" applyFont="1" applyFill="1" applyBorder="1" applyAlignment="1" applyProtection="0">
      <alignment vertical="bottom"/>
    </xf>
    <xf numFmtId="49" fontId="12" fillId="9" borderId="4" applyNumberFormat="1" applyFont="1" applyFill="1" applyBorder="1" applyAlignment="1" applyProtection="0">
      <alignment horizontal="center" vertical="center" wrapText="1"/>
    </xf>
    <xf numFmtId="1" fontId="12" fillId="9" borderId="5" applyNumberFormat="1" applyFont="1" applyFill="1" applyBorder="1" applyAlignment="1" applyProtection="0">
      <alignment horizontal="center" vertical="center" wrapText="1"/>
    </xf>
    <xf numFmtId="0" fontId="0" borderId="3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" fontId="13" fillId="4" borderId="3" applyNumberFormat="1" applyFont="1" applyFill="1" applyBorder="1" applyAlignment="1" applyProtection="0">
      <alignment horizontal="center" vertical="center"/>
    </xf>
    <xf numFmtId="49" fontId="9" fillId="5" borderId="32" applyNumberFormat="1" applyFont="1" applyFill="1" applyBorder="1" applyAlignment="1" applyProtection="0">
      <alignment horizontal="center" vertical="center"/>
    </xf>
    <xf numFmtId="1" fontId="9" fillId="5" borderId="11" applyNumberFormat="1" applyFont="1" applyFill="1" applyBorder="1" applyAlignment="1" applyProtection="0">
      <alignment horizontal="center" vertical="center"/>
    </xf>
    <xf numFmtId="1" fontId="9" fillId="5" borderId="12" applyNumberFormat="1" applyFont="1" applyFill="1" applyBorder="1" applyAlignment="1" applyProtection="0">
      <alignment horizontal="center" vertical="center"/>
    </xf>
    <xf numFmtId="49" fontId="7" fillId="5" borderId="33" applyNumberFormat="1" applyFont="1" applyFill="1" applyBorder="1" applyAlignment="1" applyProtection="0">
      <alignment horizontal="center" vertical="center"/>
    </xf>
    <xf numFmtId="49" fontId="7" fillId="5" borderId="14" applyNumberFormat="1" applyFont="1" applyFill="1" applyBorder="1" applyAlignment="1" applyProtection="0">
      <alignment horizontal="center" vertical="center"/>
    </xf>
    <xf numFmtId="49" fontId="7" fillId="5" borderId="15" applyNumberFormat="1" applyFont="1" applyFill="1" applyBorder="1" applyAlignment="1" applyProtection="0">
      <alignment horizontal="center" vertical="center"/>
    </xf>
    <xf numFmtId="49" fontId="10" fillId="8" borderId="33" applyNumberFormat="1" applyFont="1" applyFill="1" applyBorder="1" applyAlignment="1" applyProtection="0">
      <alignment vertical="bottom"/>
    </xf>
    <xf numFmtId="59" fontId="14" fillId="8" borderId="14" applyNumberFormat="1" applyFont="1" applyFill="1" applyBorder="1" applyAlignment="1" applyProtection="0">
      <alignment horizontal="center" vertical="center"/>
    </xf>
    <xf numFmtId="49" fontId="12" fillId="8" borderId="14" applyNumberFormat="1" applyFont="1" applyFill="1" applyBorder="1" applyAlignment="1" applyProtection="0">
      <alignment horizontal="center" vertical="center"/>
    </xf>
    <xf numFmtId="0" fontId="0" fillId="6" borderId="34" applyNumberFormat="0" applyFont="1" applyFill="1" applyBorder="1" applyAlignment="1" applyProtection="0">
      <alignment vertical="bottom"/>
    </xf>
    <xf numFmtId="49" fontId="10" fillId="6" borderId="33" applyNumberFormat="1" applyFont="1" applyFill="1" applyBorder="1" applyAlignment="1" applyProtection="0">
      <alignment vertical="bottom"/>
    </xf>
    <xf numFmtId="59" fontId="14" fillId="6" borderId="14" applyNumberFormat="1" applyFont="1" applyFill="1" applyBorder="1" applyAlignment="1" applyProtection="0">
      <alignment horizontal="center" vertical="center"/>
    </xf>
    <xf numFmtId="49" fontId="12" fillId="6" borderId="14" applyNumberFormat="1" applyFont="1" applyFill="1" applyBorder="1" applyAlignment="1" applyProtection="0">
      <alignment horizontal="center" vertical="center"/>
    </xf>
    <xf numFmtId="0" fontId="0" fillId="6" borderId="28" applyNumberFormat="0" applyFont="1" applyFill="1" applyBorder="1" applyAlignment="1" applyProtection="0">
      <alignment vertical="bottom"/>
    </xf>
    <xf numFmtId="0" fontId="0" fillId="6" borderId="35" applyNumberFormat="0" applyFont="1" applyFill="1" applyBorder="1" applyAlignment="1" applyProtection="0">
      <alignment vertical="bottom"/>
    </xf>
    <xf numFmtId="60" fontId="14" fillId="6" borderId="14" applyNumberFormat="1" applyFont="1" applyFill="1" applyBorder="1" applyAlignment="1" applyProtection="0">
      <alignment horizontal="center" vertical="center"/>
    </xf>
    <xf numFmtId="49" fontId="15" fillId="9" borderId="15" applyNumberFormat="1" applyFont="1" applyFill="1" applyBorder="1" applyAlignment="1" applyProtection="0">
      <alignment horizontal="left" vertical="center" wrapText="1"/>
    </xf>
    <xf numFmtId="60" fontId="14" fillId="8" borderId="14" applyNumberFormat="1" applyFont="1" applyFill="1" applyBorder="1" applyAlignment="1" applyProtection="0">
      <alignment horizontal="center" vertical="center"/>
    </xf>
    <xf numFmtId="61" fontId="14" fillId="8" borderId="14" applyNumberFormat="1" applyFont="1" applyFill="1" applyBorder="1" applyAlignment="1" applyProtection="0">
      <alignment horizontal="center" vertical="center"/>
    </xf>
    <xf numFmtId="61" fontId="14" fillId="6" borderId="14" applyNumberFormat="1" applyFont="1" applyFill="1" applyBorder="1" applyAlignment="1" applyProtection="0">
      <alignment horizontal="center" vertical="center"/>
    </xf>
    <xf numFmtId="49" fontId="15" fillId="6" borderId="15" applyNumberFormat="1" applyFont="1" applyFill="1" applyBorder="1" applyAlignment="1" applyProtection="0">
      <alignment horizontal="left" vertical="center" wrapText="1"/>
    </xf>
    <xf numFmtId="62" fontId="14" fillId="8" borderId="14" applyNumberFormat="1" applyFont="1" applyFill="1" applyBorder="1" applyAlignment="1" applyProtection="0">
      <alignment horizontal="center" vertical="center"/>
    </xf>
    <xf numFmtId="49" fontId="15" fillId="8" borderId="15" applyNumberFormat="1" applyFont="1" applyFill="1" applyBorder="1" applyAlignment="1" applyProtection="0">
      <alignment horizontal="left" vertical="center" wrapText="1"/>
    </xf>
    <xf numFmtId="0" fontId="0" fillId="6" borderId="36" applyNumberFormat="0" applyFont="1" applyFill="1" applyBorder="1" applyAlignment="1" applyProtection="0">
      <alignment vertical="bottom"/>
    </xf>
    <xf numFmtId="0" fontId="0" fillId="6" borderId="31" applyNumberFormat="0" applyFont="1" applyFill="1" applyBorder="1" applyAlignment="1" applyProtection="0">
      <alignment vertical="bottom"/>
    </xf>
    <xf numFmtId="49" fontId="9" fillId="5" borderId="4" applyNumberFormat="1" applyFont="1" applyFill="1" applyBorder="1" applyAlignment="1" applyProtection="0">
      <alignment horizontal="center" vertical="center"/>
    </xf>
    <xf numFmtId="1" fontId="9" fillId="5" borderId="5" applyNumberFormat="1" applyFont="1" applyFill="1" applyBorder="1" applyAlignment="1" applyProtection="0">
      <alignment horizontal="center" vertical="center"/>
    </xf>
    <xf numFmtId="1" fontId="9" fillId="5" borderId="6" applyNumberFormat="1" applyFont="1" applyFill="1" applyBorder="1" applyAlignment="1" applyProtection="0">
      <alignment horizontal="center" vertical="center"/>
    </xf>
    <xf numFmtId="49" fontId="10" fillId="8" borderId="4" applyNumberFormat="1" applyFont="1" applyFill="1" applyBorder="1" applyAlignment="1" applyProtection="0">
      <alignment horizontal="left" vertical="center" wrapText="1"/>
    </xf>
    <xf numFmtId="1" fontId="10" fillId="8" borderId="5" applyNumberFormat="1" applyFont="1" applyFill="1" applyBorder="1" applyAlignment="1" applyProtection="0">
      <alignment horizontal="left" vertical="center" wrapText="1"/>
    </xf>
    <xf numFmtId="1" fontId="10" fillId="8" borderId="6" applyNumberFormat="1" applyFont="1" applyFill="1" applyBorder="1" applyAlignment="1" applyProtection="0">
      <alignment horizontal="left" vertical="center" wrapText="1"/>
    </xf>
    <xf numFmtId="49" fontId="7" fillId="5" borderId="32" applyNumberFormat="1" applyFont="1" applyFill="1" applyBorder="1" applyAlignment="1" applyProtection="0">
      <alignment vertical="bottom"/>
    </xf>
    <xf numFmtId="1" fontId="7" fillId="5" borderId="6" applyNumberFormat="1" applyFont="1" applyFill="1" applyBorder="1" applyAlignment="1" applyProtection="0">
      <alignment vertical="bottom"/>
    </xf>
    <xf numFmtId="59" fontId="16" fillId="9" borderId="14" applyNumberFormat="1" applyFont="1" applyFill="1" applyBorder="1" applyAlignment="1" applyProtection="0">
      <alignment horizontal="center" vertical="center"/>
    </xf>
    <xf numFmtId="1" fontId="0" fillId="8" borderId="5" applyNumberFormat="1" applyFont="1" applyFill="1" applyBorder="1" applyAlignment="1" applyProtection="0">
      <alignment vertical="bottom"/>
    </xf>
    <xf numFmtId="1" fontId="0" fillId="8" borderId="6" applyNumberFormat="1" applyFont="1" applyFill="1" applyBorder="1" applyAlignment="1" applyProtection="0">
      <alignment vertical="bottom"/>
    </xf>
    <xf numFmtId="49" fontId="7" fillId="5" borderId="33" applyNumberFormat="1" applyFont="1" applyFill="1" applyBorder="1" applyAlignment="1" applyProtection="0">
      <alignment vertical="bottom"/>
    </xf>
    <xf numFmtId="1" fontId="7" fillId="5" borderId="14" applyNumberFormat="1" applyFont="1" applyFill="1" applyBorder="1" applyAlignment="1" applyProtection="0">
      <alignment vertical="bottom"/>
    </xf>
    <xf numFmtId="0" fontId="0" fillId="6" borderId="37" applyNumberFormat="0" applyFont="1" applyFill="1" applyBorder="1" applyAlignment="1" applyProtection="0">
      <alignment vertical="bottom"/>
    </xf>
    <xf numFmtId="49" fontId="9" fillId="4" borderId="32" applyNumberFormat="1" applyFont="1" applyFill="1" applyBorder="1" applyAlignment="1" applyProtection="0">
      <alignment horizontal="center" vertical="center"/>
    </xf>
    <xf numFmtId="1" fontId="9" fillId="4" borderId="11" applyNumberFormat="1" applyFont="1" applyFill="1" applyBorder="1" applyAlignment="1" applyProtection="0">
      <alignment horizontal="center" vertical="center"/>
    </xf>
    <xf numFmtId="1" fontId="9" fillId="4" borderId="5" applyNumberFormat="1" applyFont="1" applyFill="1" applyBorder="1" applyAlignment="1" applyProtection="0">
      <alignment horizontal="center" vertical="center"/>
    </xf>
    <xf numFmtId="1" fontId="9" fillId="4" borderId="6" applyNumberFormat="1" applyFont="1" applyFill="1" applyBorder="1" applyAlignment="1" applyProtection="0">
      <alignment horizontal="center" vertical="center"/>
    </xf>
    <xf numFmtId="59" fontId="11" fillId="8" borderId="14" applyNumberFormat="1" applyFont="1" applyFill="1" applyBorder="1" applyAlignment="1" applyProtection="0">
      <alignment horizontal="center" vertical="center"/>
    </xf>
    <xf numFmtId="59" fontId="11" fillId="6" borderId="14" applyNumberFormat="1" applyFont="1" applyFill="1" applyBorder="1" applyAlignment="1" applyProtection="0">
      <alignment horizontal="center" vertical="center"/>
    </xf>
    <xf numFmtId="0" fontId="10" fillId="8" borderId="14" applyNumberFormat="0" applyFont="1" applyFill="1" applyBorder="1" applyAlignment="1" applyProtection="0">
      <alignment horizontal="center" vertical="center"/>
    </xf>
    <xf numFmtId="49" fontId="10" fillId="7" borderId="33" applyNumberFormat="1" applyFont="1" applyFill="1" applyBorder="1" applyAlignment="1" applyProtection="0">
      <alignment vertical="bottom"/>
    </xf>
    <xf numFmtId="60" fontId="11" fillId="7" borderId="14" applyNumberFormat="1" applyFont="1" applyFill="1" applyBorder="1" applyAlignment="1" applyProtection="0">
      <alignment horizontal="center" vertical="center"/>
    </xf>
    <xf numFmtId="49" fontId="12" fillId="7" borderId="14" applyNumberFormat="1" applyFont="1" applyFill="1" applyBorder="1" applyAlignment="1" applyProtection="0">
      <alignment horizontal="center" vertical="center"/>
    </xf>
    <xf numFmtId="49" fontId="10" fillId="8" borderId="33" applyNumberFormat="1" applyFont="1" applyFill="1" applyBorder="1" applyAlignment="1" applyProtection="0">
      <alignment horizontal="left" vertical="center" wrapText="1"/>
    </xf>
    <xf numFmtId="49" fontId="10" fillId="8" borderId="14" applyNumberFormat="1" applyFont="1" applyFill="1" applyBorder="1" applyAlignment="1" applyProtection="0">
      <alignment horizontal="left" vertical="center" wrapText="1"/>
    </xf>
    <xf numFmtId="49" fontId="7" fillId="10" borderId="14" applyNumberFormat="1" applyFont="1" applyFill="1" applyBorder="1" applyAlignment="1" applyProtection="0">
      <alignment horizontal="center" vertical="center"/>
    </xf>
    <xf numFmtId="49" fontId="10" fillId="6" borderId="33" applyNumberFormat="1" applyFont="1" applyFill="1" applyBorder="1" applyAlignment="1" applyProtection="0">
      <alignment horizontal="left" vertical="center" wrapText="1"/>
    </xf>
    <xf numFmtId="49" fontId="10" fillId="6" borderId="14" applyNumberFormat="1" applyFont="1" applyFill="1" applyBorder="1" applyAlignment="1" applyProtection="0">
      <alignment horizontal="left" vertical="center" wrapText="1"/>
    </xf>
    <xf numFmtId="49" fontId="7" fillId="11" borderId="14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49" fontId="10" fillId="7" borderId="33" applyNumberFormat="1" applyFont="1" applyFill="1" applyBorder="1" applyAlignment="1" applyProtection="0">
      <alignment horizontal="center" vertical="center" wrapText="1"/>
    </xf>
    <xf numFmtId="49" fontId="10" fillId="8" borderId="14" applyNumberFormat="1" applyFont="1" applyFill="1" applyBorder="1" applyAlignment="1" applyProtection="0">
      <alignment horizontal="center" vertical="center" wrapText="1"/>
    </xf>
    <xf numFmtId="49" fontId="10" fillId="8" borderId="15" applyNumberFormat="1" applyFont="1" applyFill="1" applyBorder="1" applyAlignment="1" applyProtection="0">
      <alignment horizontal="center" vertical="center" wrapText="1"/>
    </xf>
    <xf numFmtId="49" fontId="10" fillId="6" borderId="14" applyNumberFormat="1" applyFont="1" applyFill="1" applyBorder="1" applyAlignment="1" applyProtection="0">
      <alignment horizontal="center" vertical="center" wrapText="1"/>
    </xf>
    <xf numFmtId="49" fontId="10" fillId="6" borderId="15" applyNumberFormat="1" applyFont="1" applyFill="1" applyBorder="1" applyAlignment="1" applyProtection="0">
      <alignment horizontal="center" vertical="center" wrapText="1"/>
    </xf>
    <xf numFmtId="49" fontId="10" fillId="12" borderId="33" applyNumberFormat="1" applyFont="1" applyFill="1" applyBorder="1" applyAlignment="1" applyProtection="0">
      <alignment horizontal="center" vertical="center" wrapText="1"/>
    </xf>
    <xf numFmtId="49" fontId="10" fillId="13" borderId="33" applyNumberFormat="1" applyFont="1" applyFill="1" applyBorder="1" applyAlignment="1" applyProtection="0">
      <alignment horizontal="center" vertical="center" wrapText="1"/>
    </xf>
    <xf numFmtId="49" fontId="10" fillId="8" borderId="33" applyNumberFormat="1" applyFont="1" applyFill="1" applyBorder="1" applyAlignment="1" applyProtection="0">
      <alignment horizontal="center" vertical="center" wrapText="1"/>
    </xf>
    <xf numFmtId="1" fontId="10" fillId="8" borderId="15" applyNumberFormat="1" applyFont="1" applyFill="1" applyBorder="1" applyAlignment="1" applyProtection="0">
      <alignment horizontal="center" vertical="center" wrapText="1"/>
    </xf>
    <xf numFmtId="49" fontId="10" fillId="6" borderId="33" applyNumberFormat="1" applyFont="1" applyFill="1" applyBorder="1" applyAlignment="1" applyProtection="0">
      <alignment horizontal="center" vertical="center" wrapText="1"/>
    </xf>
    <xf numFmtId="1" fontId="10" fillId="6" borderId="15" applyNumberFormat="1" applyFont="1" applyFill="1" applyBorder="1" applyAlignment="1" applyProtection="0">
      <alignment horizontal="center" vertical="center" wrapText="1"/>
    </xf>
    <xf numFmtId="49" fontId="10" fillId="7" borderId="33" applyNumberFormat="1" applyFont="1" applyFill="1" applyBorder="1" applyAlignment="1" applyProtection="0">
      <alignment horizontal="left" vertical="center"/>
    </xf>
    <xf numFmtId="49" fontId="10" fillId="7" borderId="14" applyNumberFormat="1" applyFont="1" applyFill="1" applyBorder="1" applyAlignment="1" applyProtection="0">
      <alignment horizontal="left" vertical="center"/>
    </xf>
    <xf numFmtId="1" fontId="10" fillId="7" borderId="14" applyNumberFormat="1" applyFont="1" applyFill="1" applyBorder="1" applyAlignment="1" applyProtection="0">
      <alignment horizontal="left" vertical="center"/>
    </xf>
    <xf numFmtId="1" fontId="10" fillId="7" borderId="15" applyNumberFormat="1" applyFont="1" applyFill="1" applyBorder="1" applyAlignment="1" applyProtection="0">
      <alignment horizontal="left" vertical="center"/>
    </xf>
    <xf numFmtId="49" fontId="10" fillId="6" borderId="33" applyNumberFormat="1" applyFont="1" applyFill="1" applyBorder="1" applyAlignment="1" applyProtection="0">
      <alignment horizontal="left" vertical="center"/>
    </xf>
    <xf numFmtId="49" fontId="10" fillId="6" borderId="14" applyNumberFormat="1" applyFont="1" applyFill="1" applyBorder="1" applyAlignment="1" applyProtection="0">
      <alignment horizontal="left" vertical="center"/>
    </xf>
    <xf numFmtId="1" fontId="10" fillId="6" borderId="14" applyNumberFormat="1" applyFont="1" applyFill="1" applyBorder="1" applyAlignment="1" applyProtection="0">
      <alignment horizontal="left" vertical="center"/>
    </xf>
    <xf numFmtId="1" fontId="10" fillId="6" borderId="15" applyNumberFormat="1" applyFont="1" applyFill="1" applyBorder="1" applyAlignment="1" applyProtection="0">
      <alignment horizontal="left" vertical="center"/>
    </xf>
    <xf numFmtId="49" fontId="10" fillId="8" borderId="33" applyNumberFormat="1" applyFont="1" applyFill="1" applyBorder="1" applyAlignment="1" applyProtection="0">
      <alignment horizontal="left" vertical="center"/>
    </xf>
    <xf numFmtId="49" fontId="10" fillId="8" borderId="14" applyNumberFormat="1" applyFont="1" applyFill="1" applyBorder="1" applyAlignment="1" applyProtection="0">
      <alignment horizontal="left" vertical="center"/>
    </xf>
    <xf numFmtId="1" fontId="10" fillId="8" borderId="14" applyNumberFormat="1" applyFont="1" applyFill="1" applyBorder="1" applyAlignment="1" applyProtection="0">
      <alignment horizontal="left" vertical="center"/>
    </xf>
    <xf numFmtId="1" fontId="10" fillId="8" borderId="15" applyNumberFormat="1" applyFont="1" applyFill="1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1f3864"/>
      <rgbColor rgb="ffaaaaaa"/>
      <rgbColor rgb="ff2e5fa3"/>
      <rgbColor rgb="ffd6e4f7"/>
      <rgbColor rgb="ffebf2fc"/>
      <rgbColor rgb="ffffff00"/>
      <rgbColor rgb="ff008000"/>
      <rgbColor rgb="ffc0392b"/>
      <rgbColor rgb="ffff8c00"/>
      <rgbColor rgb="ffc8e6c9"/>
      <rgbColor rgb="fffff9c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53</v>
      </c>
      <c r="C11" s="3"/>
      <c r="D11" s="3"/>
    </row>
    <row r="12">
      <c r="B12" s="4"/>
      <c r="C12" t="s" s="4">
        <v>5</v>
      </c>
      <c r="D12" t="s" s="5">
        <v>53</v>
      </c>
    </row>
    <row r="13">
      <c r="B13" t="s" s="3">
        <v>82</v>
      </c>
      <c r="C13" s="3"/>
      <c r="D13" s="3"/>
    </row>
    <row r="14">
      <c r="B14" s="4"/>
      <c r="C14" t="s" s="4">
        <v>5</v>
      </c>
      <c r="D14" t="s" s="5">
        <v>82</v>
      </c>
    </row>
    <row r="15">
      <c r="B15" t="s" s="3">
        <v>156</v>
      </c>
      <c r="C15" s="3"/>
      <c r="D15" s="3"/>
    </row>
    <row r="16">
      <c r="B16" s="4"/>
      <c r="C16" t="s" s="4">
        <v>5</v>
      </c>
      <c r="D16" t="s" s="5">
        <v>156</v>
      </c>
    </row>
  </sheetData>
  <mergeCells count="1">
    <mergeCell ref="B3:D3"/>
  </mergeCells>
  <hyperlinks>
    <hyperlink ref="D10" location="'Bilanz'!R1C1" tooltip="" display="Bilanz"/>
    <hyperlink ref="D12" location="'GuV'!R1C1" tooltip="" display="GuV"/>
    <hyperlink ref="D14" location="'Kennzahlen &amp; Rechner'!R1C1" tooltip="" display="Kennzahlen &amp; Rechner"/>
    <hyperlink ref="D16" location="'Anhang &amp; Checkliste'!R1C1" tooltip="" display="Anhang &amp; Checkliste"/>
  </hyperlinks>
</worksheet>
</file>

<file path=xl/worksheets/sheet2.xml><?xml version="1.0" encoding="utf-8"?>
<worksheet xmlns="http://schemas.openxmlformats.org/spreadsheetml/2006/main">
  <dimension ref="A1:I28"/>
  <sheetViews>
    <sheetView workbookViewId="0" showGridLines="0" defaultGridColor="1"/>
  </sheetViews>
  <sheetFormatPr defaultColWidth="8.5" defaultRowHeight="15" customHeight="1" outlineLevelRow="0" outlineLevelCol="0"/>
  <cols>
    <col min="1" max="1" width="40" style="6" customWidth="1"/>
    <col min="2" max="2" width="6" style="6" customWidth="1"/>
    <col min="3" max="4" width="18" style="6" customWidth="1"/>
    <col min="5" max="5" width="2" style="6" customWidth="1"/>
    <col min="6" max="6" width="40" style="6" customWidth="1"/>
    <col min="7" max="7" width="6" style="6" customWidth="1"/>
    <col min="8" max="9" width="18" style="6" customWidth="1"/>
    <col min="10" max="16384" width="8.5" style="6" customWidth="1"/>
  </cols>
  <sheetData>
    <row r="1" ht="30" customHeight="1">
      <c r="A1" t="s" s="7">
        <v>6</v>
      </c>
      <c r="B1" s="8"/>
      <c r="C1" s="8"/>
      <c r="D1" s="8"/>
      <c r="E1" s="8"/>
      <c r="F1" s="8"/>
      <c r="G1" s="8"/>
      <c r="H1" s="8"/>
      <c r="I1" s="9"/>
    </row>
    <row r="2" ht="13.65" customHeight="1">
      <c r="A2" t="s" s="10">
        <v>7</v>
      </c>
      <c r="B2" s="11"/>
      <c r="C2" s="11"/>
      <c r="D2" s="11"/>
      <c r="E2" s="11"/>
      <c r="F2" s="11"/>
      <c r="G2" s="11"/>
      <c r="H2" s="11"/>
      <c r="I2" s="12"/>
    </row>
    <row r="3" ht="13.65" customHeight="1">
      <c r="A3" s="13"/>
      <c r="B3" s="14"/>
      <c r="C3" t="s" s="15">
        <v>8</v>
      </c>
      <c r="D3" t="s" s="15">
        <v>9</v>
      </c>
      <c r="E3" s="16"/>
      <c r="F3" s="13"/>
      <c r="G3" s="14"/>
      <c r="H3" t="s" s="15">
        <v>8</v>
      </c>
      <c r="I3" t="s" s="17">
        <v>9</v>
      </c>
    </row>
    <row r="4" ht="13.65" customHeight="1">
      <c r="A4" s="18"/>
      <c r="B4" s="19"/>
      <c r="C4" s="20" t="inlineStr">
        <is>
          <t>2025</t>
        </is>
      </c>
      <c r="D4" s="20" t="inlineStr">
        <is>
          <t>2024</t>
        </is>
      </c>
      <c r="E4" s="21"/>
      <c r="F4" s="18"/>
      <c r="G4" s="19"/>
      <c r="H4" s="20" t="inlineStr">
        <is>
          <t>2025</t>
        </is>
      </c>
      <c r="I4" s="22" t="inlineStr">
        <is>
          <t>2024</t>
        </is>
      </c>
    </row>
    <row r="5" ht="19.5" customHeight="1">
      <c r="A5" t="s" s="23">
        <v>10</v>
      </c>
      <c r="B5" s="24"/>
      <c r="C5" s="24"/>
      <c r="D5" s="24"/>
      <c r="E5" s="24"/>
      <c r="F5" t="s" s="25">
        <v>11</v>
      </c>
      <c r="G5" s="24"/>
      <c r="H5" s="24"/>
      <c r="I5" s="26"/>
    </row>
    <row r="6" ht="18" customHeight="1">
      <c r="A6" t="s" s="27">
        <v>12</v>
      </c>
      <c r="B6" s="28"/>
      <c r="C6" s="29"/>
      <c r="D6" s="29"/>
      <c r="E6" s="28"/>
      <c r="F6" t="s" s="30">
        <v>13</v>
      </c>
      <c r="G6" s="28"/>
      <c r="H6" s="29"/>
      <c r="I6" s="31"/>
    </row>
    <row r="7" ht="13.65" customHeight="1">
      <c r="A7" t="s" s="32">
        <v>14</v>
      </c>
      <c r="B7" s="33"/>
      <c r="C7" s="34">
        <v>85000</v>
      </c>
      <c r="D7" s="34">
        <v>50000</v>
      </c>
      <c r="E7" s="35"/>
      <c r="F7" t="s" s="36">
        <v>15</v>
      </c>
      <c r="G7" s="33"/>
      <c r="H7" s="34">
        <v>25000</v>
      </c>
      <c r="I7" s="37">
        <v>25000</v>
      </c>
    </row>
    <row r="8" ht="13.65" customHeight="1">
      <c r="A8" t="s" s="38">
        <v>16</v>
      </c>
      <c r="B8" s="39"/>
      <c r="C8" s="40">
        <v>42000</v>
      </c>
      <c r="D8" s="40">
        <v>28000</v>
      </c>
      <c r="E8" s="35"/>
      <c r="F8" t="s" s="41">
        <v>17</v>
      </c>
      <c r="G8" s="39"/>
      <c r="H8" s="40">
        <v>400000</v>
      </c>
      <c r="I8" s="42">
        <v>100000</v>
      </c>
    </row>
    <row r="9" ht="13.65" customHeight="1">
      <c r="A9" t="s" s="32">
        <v>18</v>
      </c>
      <c r="B9" s="39"/>
      <c r="C9" s="34">
        <v>0</v>
      </c>
      <c r="D9" s="34">
        <v>0</v>
      </c>
      <c r="E9" s="35"/>
      <c r="F9" t="s" s="36">
        <v>19</v>
      </c>
      <c r="G9" s="39"/>
      <c r="H9" s="34">
        <v>28000</v>
      </c>
      <c r="I9" s="37">
        <v>0</v>
      </c>
    </row>
    <row r="10" ht="13.65" customHeight="1">
      <c r="A10" t="s" s="38">
        <v>20</v>
      </c>
      <c r="B10" s="39"/>
      <c r="C10" s="40">
        <v>0</v>
      </c>
      <c r="D10" s="40">
        <v>0</v>
      </c>
      <c r="E10" s="35"/>
      <c r="F10" t="s" s="41">
        <v>21</v>
      </c>
      <c r="G10" s="39"/>
      <c r="H10" s="40">
        <v>432000</v>
      </c>
      <c r="I10" s="42">
        <v>246000</v>
      </c>
    </row>
    <row r="11" ht="13.65" customHeight="1">
      <c r="A11" t="s" s="32">
        <v>22</v>
      </c>
      <c r="B11" s="39"/>
      <c r="C11" s="34">
        <v>0</v>
      </c>
      <c r="D11" s="34">
        <v>0</v>
      </c>
      <c r="E11" s="35"/>
      <c r="F11" t="s" s="36">
        <v>23</v>
      </c>
      <c r="G11" s="39"/>
      <c r="H11" s="34">
        <v>-215000</v>
      </c>
      <c r="I11" s="37">
        <v>-23000</v>
      </c>
    </row>
    <row r="12" ht="14.15" customHeight="1">
      <c r="A12" t="s" s="38">
        <v>24</v>
      </c>
      <c r="B12" s="39"/>
      <c r="C12" s="40">
        <v>0</v>
      </c>
      <c r="D12" s="40">
        <v>0</v>
      </c>
      <c r="E12" s="35"/>
      <c r="F12" t="s" s="43">
        <v>25</v>
      </c>
      <c r="G12" s="44"/>
      <c r="H12" s="45" cm="1">
        <v>0</v>
      </c>
      <c r="I12" s="46" cm="1">
        <v>0</v>
      </c>
    </row>
    <row r="13" ht="18" customHeight="1">
      <c r="A13" t="s" s="47">
        <v>26</v>
      </c>
      <c r="B13" s="44"/>
      <c r="C13" s="45" cm="1">
        <f t="array" ref="C13">C7+C8+C12</f>
        <v>320000</v>
      </c>
      <c r="D13" s="45" cm="1">
        <f t="array" ref="D13">D7+D8+D12</f>
        <v>360000</v>
      </c>
      <c r="E13" s="35"/>
      <c r="F13" t="s" s="48">
        <v>27</v>
      </c>
      <c r="G13" s="28"/>
      <c r="H13" s="49"/>
      <c r="I13" s="50"/>
    </row>
    <row r="14" ht="18" customHeight="1">
      <c r="A14" t="s" s="51">
        <v>28</v>
      </c>
      <c r="B14" s="28"/>
      <c r="C14" s="49"/>
      <c r="D14" s="49"/>
      <c r="E14" s="28"/>
      <c r="F14" t="s" s="41">
        <v>29</v>
      </c>
      <c r="G14" s="33"/>
      <c r="H14" s="40">
        <v>45000</v>
      </c>
      <c r="I14" s="42">
        <v>28000</v>
      </c>
    </row>
    <row r="15" ht="13.65" customHeight="1">
      <c r="A15" t="s" s="32">
        <v>30</v>
      </c>
      <c r="B15" s="33"/>
      <c r="C15" s="34">
        <v>0</v>
      </c>
      <c r="D15" s="34">
        <v>0</v>
      </c>
      <c r="E15" s="35"/>
      <c r="F15" t="s" s="36">
        <v>31</v>
      </c>
      <c r="G15" s="39"/>
      <c r="H15" s="34">
        <v>0</v>
      </c>
      <c r="I15" s="37">
        <v>0</v>
      </c>
    </row>
    <row r="16" ht="13.65" customHeight="1">
      <c r="A16" t="s" s="38">
        <v>32</v>
      </c>
      <c r="B16" s="39"/>
      <c r="C16" s="40">
        <v>210000</v>
      </c>
      <c r="D16" s="40">
        <v>145000</v>
      </c>
      <c r="E16" s="35"/>
      <c r="F16" t="s" s="41">
        <v>33</v>
      </c>
      <c r="G16" s="39"/>
      <c r="H16" s="40">
        <v>0</v>
      </c>
      <c r="I16" s="42">
        <v>0</v>
      </c>
    </row>
    <row r="17" ht="14.15" customHeight="1">
      <c r="A17" t="s" s="32">
        <v>34</v>
      </c>
      <c r="B17" s="39"/>
      <c r="C17" s="34">
        <v>0</v>
      </c>
      <c r="D17" s="34">
        <v>0</v>
      </c>
      <c r="E17" s="35"/>
      <c r="F17" t="s" s="43">
        <v>35</v>
      </c>
      <c r="G17" s="44"/>
      <c r="H17" s="45" cm="1">
        <f t="array" ref="H17">H14+H15+H16</f>
        <v>60000</v>
      </c>
      <c r="I17" s="46" cm="1">
        <f t="array" ref="I17">I14+I15+I16</f>
        <v>52000</v>
      </c>
    </row>
    <row r="18" ht="18" customHeight="1">
      <c r="A18" t="s" s="38">
        <v>36</v>
      </c>
      <c r="B18" s="39"/>
      <c r="C18" s="40">
        <v>1240000</v>
      </c>
      <c r="D18" s="40">
        <v>680000</v>
      </c>
      <c r="E18" s="35"/>
      <c r="F18" t="s" s="48">
        <v>37</v>
      </c>
      <c r="G18" s="28"/>
      <c r="H18" s="49"/>
      <c r="I18" s="50"/>
    </row>
    <row r="19" ht="13.65" customHeight="1">
      <c r="A19" t="s" s="32">
        <v>38</v>
      </c>
      <c r="B19" s="39"/>
      <c r="C19" s="34">
        <v>0</v>
      </c>
      <c r="D19" s="34">
        <v>0</v>
      </c>
      <c r="E19" s="35"/>
      <c r="F19" t="s" s="36">
        <v>39</v>
      </c>
      <c r="G19" s="33"/>
      <c r="H19" s="34">
        <v>0</v>
      </c>
      <c r="I19" s="37">
        <v>0</v>
      </c>
    </row>
    <row r="20" ht="13.65" customHeight="1">
      <c r="A20" t="s" s="38">
        <v>40</v>
      </c>
      <c r="B20" s="39"/>
      <c r="C20" s="40">
        <v>0</v>
      </c>
      <c r="D20" s="40">
        <v>0</v>
      </c>
      <c r="E20" s="35"/>
      <c r="F20" t="s" s="41">
        <v>41</v>
      </c>
      <c r="G20" s="39"/>
      <c r="H20" s="40">
        <v>185000</v>
      </c>
      <c r="I20" s="42">
        <v>98000</v>
      </c>
    </row>
    <row r="21" ht="14.15" customHeight="1">
      <c r="A21" t="s" s="47">
        <v>42</v>
      </c>
      <c r="B21" s="39"/>
      <c r="C21" s="52" cm="1">
        <f t="array" ref="C21">C15+C16+C19+C20</f>
        <v>290000</v>
      </c>
      <c r="D21" s="52" cm="1">
        <f t="array" ref="D21">D15+D16+D19+D20</f>
        <v>245000</v>
      </c>
      <c r="E21" s="35"/>
      <c r="F21" t="s" s="36">
        <v>43</v>
      </c>
      <c r="G21" s="39"/>
      <c r="H21" s="34">
        <v>695000</v>
      </c>
      <c r="I21" s="37">
        <v>441000</v>
      </c>
    </row>
    <row r="22" ht="14.65" customHeight="1">
      <c r="A22" t="s" s="53">
        <v>44</v>
      </c>
      <c r="B22" s="39"/>
      <c r="C22" s="40">
        <v>18000</v>
      </c>
      <c r="D22" s="40">
        <v>12000</v>
      </c>
      <c r="E22" s="35"/>
      <c r="F22" t="s" s="43">
        <v>45</v>
      </c>
      <c r="G22" s="39"/>
      <c r="H22" s="52" cm="1">
        <f t="array" ref="H22">H19+H20+H21</f>
        <v>140000</v>
      </c>
      <c r="I22" s="54" cm="1">
        <f t="array" ref="I22">I19+I20+I21</f>
        <v>153000</v>
      </c>
    </row>
    <row r="23" ht="14.15" customHeight="1">
      <c r="A23" t="s" s="32">
        <v>46</v>
      </c>
      <c r="B23" s="39"/>
      <c r="C23" s="34">
        <v>0</v>
      </c>
      <c r="D23" s="34">
        <v>0</v>
      </c>
      <c r="E23" s="35"/>
      <c r="F23" t="s" s="55">
        <v>47</v>
      </c>
      <c r="G23" s="39"/>
      <c r="H23" s="34">
        <v>0</v>
      </c>
      <c r="I23" s="37">
        <v>0</v>
      </c>
    </row>
    <row r="24" ht="21.75" customHeight="1">
      <c r="A24" t="s" s="23">
        <v>48</v>
      </c>
      <c r="B24" s="44"/>
      <c r="C24" s="56" cm="1">
        <f t="array" ref="C24">C13+C21+C22+C23</f>
        <v>620000</v>
      </c>
      <c r="D24" s="56" cm="1">
        <f t="array" ref="D24">D13+D21+D22+D23</f>
        <v>613000</v>
      </c>
      <c r="E24" s="35"/>
      <c r="F24" t="s" s="25">
        <v>49</v>
      </c>
      <c r="G24" s="44"/>
      <c r="H24" s="56" cm="1">
        <f t="array" ref="H24">H12+H17+H22+H23</f>
        <v>520000</v>
      </c>
      <c r="I24" s="57" cm="1">
        <f t="array" ref="I24">I12+I17+I22+I23</f>
        <v>475000</v>
      </c>
    </row>
    <row r="25" ht="13.65" customHeight="1">
      <c r="A25" t="s" s="58">
        <v>50</v>
      </c>
      <c r="B25" s="59"/>
      <c r="C25" s="59"/>
      <c r="D25" s="59"/>
      <c r="E25" s="59"/>
      <c r="F25" s="59"/>
      <c r="G25" s="59"/>
      <c r="H25" s="59"/>
      <c r="I25" s="60"/>
    </row>
    <row r="26" ht="14.6" customHeight="1">
      <c r="A26" t="s" s="61">
        <v>51</v>
      </c>
      <c r="B26" s="62"/>
      <c r="C26" s="62"/>
      <c r="D26" s="62"/>
      <c r="E26" s="63" cm="1">
        <f t="array" ref="E26">C24-H24</f>
        <v>100000</v>
      </c>
      <c r="F26" s="16"/>
      <c r="G26" s="13"/>
      <c r="H26" s="13"/>
      <c r="I26" s="13"/>
    </row>
    <row r="27" ht="13.55" customHeight="1">
      <c r="A27" s="64"/>
      <c r="B27" s="64"/>
      <c r="C27" s="64"/>
      <c r="D27" s="64"/>
      <c r="E27" s="64"/>
      <c r="F27" s="18"/>
      <c r="G27" s="18"/>
      <c r="H27" s="18"/>
      <c r="I27" s="18"/>
    </row>
    <row r="28" ht="12.7" customHeight="1">
      <c r="A28" t="s" s="65">
        <v>52</v>
      </c>
      <c r="B28" s="66"/>
      <c r="C28" s="66"/>
      <c r="D28" s="66"/>
      <c r="E28" s="66"/>
      <c r="F28" s="66"/>
      <c r="G28" s="66"/>
      <c r="H28" s="66"/>
      <c r="I28" s="67"/>
    </row>
  </sheetData>
  <mergeCells count="12">
    <mergeCell ref="A1:I1"/>
    <mergeCell ref="A2:I2"/>
    <mergeCell ref="A5:E5"/>
    <mergeCell ref="F5:I5"/>
    <mergeCell ref="A6:E6"/>
    <mergeCell ref="F6:I6"/>
    <mergeCell ref="F13:I13"/>
    <mergeCell ref="A14:E14"/>
    <mergeCell ref="F18:I18"/>
    <mergeCell ref="A25:I25"/>
    <mergeCell ref="A26:D26"/>
    <mergeCell ref="A28:I28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>
  <dimension ref="A1:E32"/>
  <sheetViews>
    <sheetView workbookViewId="0" showGridLines="0" defaultGridColor="1"/>
  </sheetViews>
  <sheetFormatPr defaultColWidth="8.5" defaultRowHeight="15" customHeight="1" outlineLevelRow="0" outlineLevelCol="0"/>
  <cols>
    <col min="1" max="1" width="48" style="68" customWidth="1"/>
    <col min="2" max="2" width="6" style="68" customWidth="1"/>
    <col min="3" max="4" width="20" style="68" customWidth="1"/>
    <col min="5" max="5" width="8.5" style="68" customWidth="1"/>
    <col min="6" max="16384" width="8.5" style="68" customWidth="1"/>
  </cols>
  <sheetData>
    <row r="1" ht="27.75" customHeight="1">
      <c r="A1" t="s" s="69">
        <v>54</v>
      </c>
      <c r="B1" s="70"/>
      <c r="C1" s="70"/>
      <c r="D1" s="70"/>
      <c r="E1" s="71"/>
    </row>
    <row r="2" ht="13.65" customHeight="1">
      <c r="A2" t="s" s="10">
        <v>55</v>
      </c>
      <c r="B2" s="11"/>
      <c r="C2" s="11"/>
      <c r="D2" s="11"/>
      <c r="E2" s="71"/>
    </row>
    <row r="3" ht="13.65" customHeight="1">
      <c r="A3" s="13"/>
      <c r="B3" s="14"/>
      <c r="C3" t="s" s="15">
        <v>8</v>
      </c>
      <c r="D3" t="s" s="15">
        <v>9</v>
      </c>
      <c r="E3" s="71"/>
    </row>
    <row r="4" ht="13.65" customHeight="1">
      <c r="A4" s="18"/>
      <c r="B4" s="19"/>
      <c r="C4" s="20" t="inlineStr">
        <is>
          <t>2025</t>
        </is>
      </c>
      <c r="D4" s="20" t="inlineStr">
        <is>
          <t>2024</t>
        </is>
      </c>
      <c r="E4" s="71"/>
    </row>
    <row r="5" ht="18" customHeight="1">
      <c r="A5" t="s" s="72">
        <v>56</v>
      </c>
      <c r="B5" s="73"/>
      <c r="C5" s="74"/>
      <c r="D5" s="74"/>
      <c r="E5" s="71"/>
    </row>
    <row r="6" ht="13.65" customHeight="1">
      <c r="A6" t="s" s="38">
        <v>57</v>
      </c>
      <c r="B6" s="33"/>
      <c r="C6" s="40">
        <v>2350000</v>
      </c>
      <c r="D6" s="40">
        <v>1702000</v>
      </c>
      <c r="E6" s="71"/>
    </row>
    <row r="7" ht="13.65" customHeight="1">
      <c r="A7" t="s" s="32">
        <v>58</v>
      </c>
      <c r="B7" s="39"/>
      <c r="C7" s="34">
        <v>12000</v>
      </c>
      <c r="D7" s="34">
        <v>8000</v>
      </c>
      <c r="E7" s="71"/>
    </row>
    <row r="8" ht="13.65" customHeight="1">
      <c r="A8" t="s" s="38">
        <v>59</v>
      </c>
      <c r="B8" s="39"/>
      <c r="C8" s="40">
        <v>5000</v>
      </c>
      <c r="D8" s="40">
        <v>3000</v>
      </c>
      <c r="E8" s="71"/>
    </row>
    <row r="9" ht="13.65" customHeight="1">
      <c r="A9" t="s" s="32">
        <v>60</v>
      </c>
      <c r="B9" s="39"/>
      <c r="C9" s="34">
        <v>18000</v>
      </c>
      <c r="D9" s="34">
        <v>14000</v>
      </c>
      <c r="E9" s="71"/>
    </row>
    <row r="10" ht="14.15" customHeight="1">
      <c r="A10" t="s" s="47">
        <v>61</v>
      </c>
      <c r="B10" s="44"/>
      <c r="C10" s="45" cm="1">
        <f t="array" ref="C10">C6+C7+C8+C9</f>
        <v>872000</v>
      </c>
      <c r="D10" s="45" cm="1">
        <f t="array" ref="D10">D6+D7+D8+D9</f>
        <v>736500</v>
      </c>
      <c r="E10" s="71"/>
    </row>
    <row r="11" ht="18" customHeight="1">
      <c r="A11" t="s" s="75">
        <v>62</v>
      </c>
      <c r="B11" s="73"/>
      <c r="C11" s="76"/>
      <c r="D11" s="76"/>
      <c r="E11" s="71"/>
    </row>
    <row r="12" ht="13.65" customHeight="1">
      <c r="A12" t="s" s="38">
        <v>63</v>
      </c>
      <c r="B12" s="33"/>
      <c r="C12" s="40">
        <v>485000</v>
      </c>
      <c r="D12" s="40">
        <v>368000</v>
      </c>
      <c r="E12" s="71"/>
    </row>
    <row r="13" ht="13.65" customHeight="1">
      <c r="A13" t="s" s="32">
        <v>64</v>
      </c>
      <c r="B13" s="39"/>
      <c r="C13" s="34">
        <v>890000</v>
      </c>
      <c r="D13" s="34">
        <v>640000</v>
      </c>
      <c r="E13" s="71"/>
    </row>
    <row r="14" ht="13.65" customHeight="1">
      <c r="A14" t="s" s="38">
        <v>65</v>
      </c>
      <c r="B14" s="39"/>
      <c r="C14" s="40">
        <v>127000</v>
      </c>
      <c r="D14" s="40">
        <v>98000</v>
      </c>
      <c r="E14" s="71"/>
    </row>
    <row r="15" ht="13.65" customHeight="1">
      <c r="A15" t="s" s="32">
        <v>66</v>
      </c>
      <c r="B15" s="39"/>
      <c r="C15" s="34">
        <v>185000</v>
      </c>
      <c r="D15" s="34">
        <v>142000</v>
      </c>
      <c r="E15" s="71"/>
    </row>
    <row r="16" ht="13.65" customHeight="1">
      <c r="A16" t="s" s="38">
        <v>67</v>
      </c>
      <c r="B16" s="39"/>
      <c r="C16" s="40">
        <v>95000</v>
      </c>
      <c r="D16" s="40">
        <v>78000</v>
      </c>
      <c r="E16" s="71"/>
    </row>
    <row r="17" ht="13.65" customHeight="1">
      <c r="A17" t="s" s="32">
        <v>68</v>
      </c>
      <c r="B17" s="39"/>
      <c r="C17" s="34">
        <v>72000</v>
      </c>
      <c r="D17" s="34">
        <v>55000</v>
      </c>
      <c r="E17" s="71"/>
    </row>
    <row r="18" ht="14.15" customHeight="1">
      <c r="A18" t="s" s="47">
        <v>69</v>
      </c>
      <c r="B18" s="39"/>
      <c r="C18" s="45" cm="1">
        <f t="array" ref="C18">C12+C13+C16+C17</f>
        <v>695000</v>
      </c>
      <c r="D18" s="45" cm="1">
        <f t="array" ref="D18">D12+D13+D16+D17</f>
        <v>610000</v>
      </c>
      <c r="E18" s="71"/>
    </row>
    <row r="19" ht="14.65" customHeight="1">
      <c r="A19" t="s" s="77">
        <v>70</v>
      </c>
      <c r="B19" s="44"/>
      <c r="C19" s="78" cm="1">
        <f t="array" ref="C19">C10-C18</f>
        <v>177000</v>
      </c>
      <c r="D19" s="78" cm="1">
        <f t="array" ref="D19">D10-D18</f>
        <v>126500</v>
      </c>
      <c r="E19" s="71"/>
    </row>
    <row r="20" ht="18" customHeight="1">
      <c r="A20" t="s" s="75">
        <v>71</v>
      </c>
      <c r="B20" s="73"/>
      <c r="C20" s="76"/>
      <c r="D20" s="76"/>
      <c r="E20" s="71"/>
    </row>
    <row r="21" ht="13.65" customHeight="1">
      <c r="A21" t="s" s="32">
        <v>72</v>
      </c>
      <c r="B21" s="33"/>
      <c r="C21" s="34">
        <v>8000</v>
      </c>
      <c r="D21" s="34">
        <v>3000</v>
      </c>
      <c r="E21" s="71"/>
    </row>
    <row r="22" ht="13.65" customHeight="1">
      <c r="A22" t="s" s="38">
        <v>73</v>
      </c>
      <c r="B22" s="39"/>
      <c r="C22" s="40">
        <v>2000</v>
      </c>
      <c r="D22" s="40">
        <v>1500</v>
      </c>
      <c r="E22" s="71"/>
    </row>
    <row r="23" ht="13.65" customHeight="1">
      <c r="A23" t="s" s="32">
        <v>74</v>
      </c>
      <c r="B23" s="39"/>
      <c r="C23" s="34">
        <v>0</v>
      </c>
      <c r="D23" s="34">
        <v>0</v>
      </c>
      <c r="E23" s="71"/>
    </row>
    <row r="24" ht="14.15" customHeight="1">
      <c r="A24" t="s" s="47">
        <v>75</v>
      </c>
      <c r="B24" s="39"/>
      <c r="C24" s="45" cm="1">
        <f t="array" ref="C24">C21+C22-C23</f>
        <v>-4000</v>
      </c>
      <c r="D24" s="45" cm="1">
        <f t="array" ref="D24">D21+D22-D23</f>
        <v>-6200</v>
      </c>
      <c r="E24" s="71"/>
    </row>
    <row r="25" ht="14.65" customHeight="1">
      <c r="A25" t="s" s="77">
        <v>76</v>
      </c>
      <c r="B25" s="44"/>
      <c r="C25" s="78" cm="1">
        <f t="array" ref="C25">C19+C24</f>
        <v>173000</v>
      </c>
      <c r="D25" s="78" cm="1">
        <f t="array" ref="D25">D19+D24</f>
        <v>120300</v>
      </c>
      <c r="E25" s="71"/>
    </row>
    <row r="26" ht="18" customHeight="1">
      <c r="A26" t="s" s="75">
        <v>77</v>
      </c>
      <c r="B26" s="73"/>
      <c r="C26" s="76"/>
      <c r="D26" s="76"/>
      <c r="E26" s="71"/>
    </row>
    <row r="27" ht="13.65" customHeight="1">
      <c r="A27" t="s" s="32">
        <v>78</v>
      </c>
      <c r="B27" s="33"/>
      <c r="C27" s="34">
        <v>101000</v>
      </c>
      <c r="D27" s="34">
        <v>70000</v>
      </c>
      <c r="E27" s="71"/>
    </row>
    <row r="28" ht="13.65" customHeight="1">
      <c r="A28" t="s" s="38">
        <v>79</v>
      </c>
      <c r="B28" s="39"/>
      <c r="C28" s="40">
        <v>9000</v>
      </c>
      <c r="D28" s="40">
        <v>7000</v>
      </c>
      <c r="E28" s="71"/>
    </row>
    <row r="29" ht="21.75" customHeight="1">
      <c r="A29" t="s" s="79">
        <v>80</v>
      </c>
      <c r="B29" s="44"/>
      <c r="C29" s="56"/>
      <c r="D29" s="56"/>
      <c r="E29" s="71"/>
    </row>
    <row r="30" ht="24" customHeight="1">
      <c r="A30" t="s" s="80">
        <v>81</v>
      </c>
      <c r="B30" s="81"/>
      <c r="C30" s="81"/>
      <c r="D30" s="81"/>
      <c r="E30" s="71"/>
    </row>
    <row r="31" ht="13.55" customHeight="1">
      <c r="A31" s="64"/>
      <c r="B31" s="64"/>
      <c r="C31" s="64"/>
      <c r="D31" s="64"/>
      <c r="E31" s="82"/>
    </row>
    <row r="32" ht="13.55" customHeight="1">
      <c r="A32" t="s" s="65">
        <v>52</v>
      </c>
      <c r="B32" s="66"/>
      <c r="C32" s="66"/>
      <c r="D32" s="66"/>
      <c r="E32" s="71"/>
    </row>
  </sheetData>
  <mergeCells count="8">
    <mergeCell ref="A1:D1"/>
    <mergeCell ref="A2:D2"/>
    <mergeCell ref="A5:D5"/>
    <mergeCell ref="A11:D11"/>
    <mergeCell ref="A20:D20"/>
    <mergeCell ref="A26:D26"/>
    <mergeCell ref="A30:D30"/>
    <mergeCell ref="A32:D32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51"/>
  <sheetViews>
    <sheetView workbookViewId="0" showGridLines="0" defaultGridColor="1"/>
  </sheetViews>
  <sheetFormatPr defaultColWidth="8.5" defaultRowHeight="15" customHeight="1" outlineLevelRow="0" outlineLevelCol="0"/>
  <cols>
    <col min="1" max="1" width="42" style="83" customWidth="1"/>
    <col min="2" max="4" width="22" style="83" customWidth="1"/>
    <col min="5" max="5" width="28" style="83" customWidth="1"/>
    <col min="6" max="16384" width="8.5" style="83" customWidth="1"/>
  </cols>
  <sheetData>
    <row r="1" ht="27.75" customHeight="1">
      <c r="A1" t="s" s="69">
        <v>83</v>
      </c>
      <c r="B1" s="70"/>
      <c r="C1" s="70"/>
      <c r="D1" s="70"/>
      <c r="E1" s="84"/>
    </row>
    <row r="2" ht="13.65" customHeight="1">
      <c r="A2" t="s" s="10">
        <v>84</v>
      </c>
      <c r="B2" s="11"/>
      <c r="C2" s="11"/>
      <c r="D2" s="11"/>
      <c r="E2" s="12"/>
    </row>
    <row r="3" ht="18" customHeight="1">
      <c r="A3" t="s" s="85">
        <v>85</v>
      </c>
      <c r="B3" s="86"/>
      <c r="C3" s="86"/>
      <c r="D3" s="86"/>
      <c r="E3" s="87"/>
    </row>
    <row r="4" ht="13.65" customHeight="1">
      <c r="A4" t="s" s="88">
        <v>86</v>
      </c>
      <c r="B4" t="s" s="89">
        <v>8</v>
      </c>
      <c r="C4" t="s" s="89">
        <v>9</v>
      </c>
      <c r="D4" t="s" s="89">
        <v>87</v>
      </c>
      <c r="E4" t="s" s="90">
        <v>88</v>
      </c>
    </row>
    <row r="5" ht="13.65" customHeight="1">
      <c r="A5" t="s" s="91">
        <v>89</v>
      </c>
      <c r="B5" s="92" cm="1">
        <f t="array" ref="B5">'Bilanz'!C24</f>
        <v>620000</v>
      </c>
      <c r="C5" s="92" cm="1">
        <f t="array" ref="C5">'Bilanz'!D24</f>
        <v>613000</v>
      </c>
      <c r="D5" t="s" s="93">
        <v>90</v>
      </c>
      <c r="E5" s="94"/>
    </row>
    <row r="6" ht="13.65" customHeight="1">
      <c r="A6" t="s" s="95">
        <v>91</v>
      </c>
      <c r="B6" s="96" cm="1">
        <f t="array" ref="B6">'Bilanz'!H12</f>
        <v>320000</v>
      </c>
      <c r="C6" s="96" cm="1">
        <f t="array" ref="C6">'Bilanz'!I12</f>
        <v>270000</v>
      </c>
      <c r="D6" t="s" s="97">
        <v>90</v>
      </c>
      <c r="E6" s="98"/>
    </row>
    <row r="7" ht="13.65" customHeight="1">
      <c r="A7" t="s" s="91">
        <v>92</v>
      </c>
      <c r="B7" s="92" cm="1">
        <f t="array" ref="B7">'Bilanz'!H17+'Bilanz'!H22</f>
        <v>200000</v>
      </c>
      <c r="C7" s="92" cm="1">
        <f t="array" ref="C7">'Bilanz'!I17+'Bilanz'!I22</f>
        <v>205000</v>
      </c>
      <c r="D7" t="s" s="93">
        <v>90</v>
      </c>
      <c r="E7" s="99"/>
    </row>
    <row r="8" ht="21.75" customHeight="1">
      <c r="A8" t="s" s="95">
        <v>93</v>
      </c>
      <c r="B8" s="100" cm="1">
        <f t="array" ref="B8">'Bilanz'!H12/'Bilanz'!H24</f>
        <v>0.615384615384615</v>
      </c>
      <c r="C8" s="100" cm="1">
        <f t="array" ref="C8">'Bilanz'!I12/'Bilanz'!I24</f>
        <v>0.568421052631579</v>
      </c>
      <c r="D8" t="s" s="97">
        <v>94</v>
      </c>
      <c r="E8" t="s" s="101">
        <v>95</v>
      </c>
    </row>
    <row r="9" ht="13.65" customHeight="1">
      <c r="A9" t="s" s="91">
        <v>96</v>
      </c>
      <c r="B9" s="102" cm="1">
        <f t="array" ref="B9">('Bilanz'!H17+'Bilanz'!H22)/'Bilanz'!H24</f>
        <v>0.384615384615385</v>
      </c>
      <c r="C9" s="102" cm="1">
        <f t="array" ref="C9">('Bilanz'!I17+'Bilanz'!I22)/'Bilanz'!I24</f>
        <v>0.431578947368421</v>
      </c>
      <c r="D9" t="s" s="93">
        <v>97</v>
      </c>
      <c r="E9" s="94"/>
    </row>
    <row r="10" ht="13.65" customHeight="1">
      <c r="A10" t="s" s="95">
        <v>98</v>
      </c>
      <c r="B10" s="100" cm="1">
        <f t="array" ref="B10">'Bilanz'!C13/'Bilanz'!C24</f>
        <v>0.5161290322580649</v>
      </c>
      <c r="C10" s="100" cm="1">
        <f t="array" ref="C10">'Bilanz'!D13/'Bilanz'!D24</f>
        <v>0.587275693311582</v>
      </c>
      <c r="D10" t="s" s="97">
        <v>99</v>
      </c>
      <c r="E10" s="98"/>
    </row>
    <row r="11" ht="13.65" customHeight="1">
      <c r="A11" t="s" s="91">
        <v>100</v>
      </c>
      <c r="B11" s="103" cm="1">
        <f t="array" ref="B11">'Bilanz'!C20/'Bilanz'!H22*100</f>
        <v>64.28571428571431</v>
      </c>
      <c r="C11" s="103" cm="1">
        <f t="array" ref="C11">'Bilanz'!D20/'Bilanz'!I22*100</f>
        <v>39.2156862745098</v>
      </c>
      <c r="D11" t="s" s="93">
        <v>101</v>
      </c>
      <c r="E11" s="99"/>
    </row>
    <row r="12" ht="21.75" customHeight="1">
      <c r="A12" t="s" s="95">
        <v>102</v>
      </c>
      <c r="B12" s="104" cm="1">
        <f t="array" ref="B12">('Bilanz'!C20+'Bilanz'!C16)/'Bilanz'!H22*100</f>
        <v>150</v>
      </c>
      <c r="C12" s="104" cm="1">
        <f t="array" ref="C12">('Bilanz'!D20+'Bilanz'!D16)/'Bilanz'!I22*100</f>
        <v>111.111111111111</v>
      </c>
      <c r="D12" t="s" s="97">
        <v>103</v>
      </c>
      <c r="E12" t="s" s="105">
        <v>104</v>
      </c>
    </row>
    <row r="13" ht="21.75" customHeight="1">
      <c r="A13" t="s" s="91">
        <v>105</v>
      </c>
      <c r="B13" s="106" cm="1">
        <f t="array" ref="B13">('Bilanz'!H17+'Bilanz'!H22)/'Bilanz'!H12</f>
        <v>0.625</v>
      </c>
      <c r="C13" s="106" cm="1">
        <f t="array" ref="C13">('Bilanz'!I17+'Bilanz'!I22)/'Bilanz'!I12</f>
        <v>0.759259259259259</v>
      </c>
      <c r="D13" t="s" s="93">
        <v>106</v>
      </c>
      <c r="E13" t="s" s="107">
        <v>107</v>
      </c>
    </row>
    <row r="14" ht="13.65" customHeight="1">
      <c r="A14" t="s" s="95">
        <v>108</v>
      </c>
      <c r="B14" s="96" cm="1">
        <f t="array" ref="B14">'GuV'!C6</f>
        <v>850000</v>
      </c>
      <c r="C14" s="96" cm="1">
        <f t="array" ref="C14">'GuV'!D6</f>
        <v>720000</v>
      </c>
      <c r="D14" t="s" s="97">
        <v>90</v>
      </c>
      <c r="E14" s="94"/>
    </row>
    <row r="15" ht="13.65" customHeight="1">
      <c r="A15" t="s" s="91">
        <v>109</v>
      </c>
      <c r="B15" s="92" cm="1">
        <f t="array" ref="B15">'GuV'!C19</f>
        <v>177000</v>
      </c>
      <c r="C15" s="92" cm="1">
        <f t="array" ref="C15">'GuV'!D19</f>
        <v>126500</v>
      </c>
      <c r="D15" t="s" s="93">
        <v>110</v>
      </c>
      <c r="E15" s="99"/>
    </row>
    <row r="16" ht="21.75" customHeight="1">
      <c r="A16" t="s" s="95">
        <v>111</v>
      </c>
      <c r="B16" s="100" cm="1">
        <f t="array" ref="B16">'GuV'!C19/'GuV'!C6</f>
        <v>0.208235294117647</v>
      </c>
      <c r="C16" s="100" cm="1">
        <f t="array" ref="C16">'GuV'!D19/'GuV'!D6</f>
        <v>0.175694444444444</v>
      </c>
      <c r="D16" t="s" s="97">
        <v>112</v>
      </c>
      <c r="E16" t="s" s="105">
        <v>113</v>
      </c>
    </row>
    <row r="17" ht="21.75" customHeight="1">
      <c r="A17" t="s" s="91">
        <v>114</v>
      </c>
      <c r="B17" s="92" cm="1">
        <f t="array" ref="B17">'GuV'!C30</f>
      </c>
      <c r="C17" s="92" cm="1">
        <f t="array" ref="C17">'GuV'!D30</f>
      </c>
      <c r="D17" t="s" s="93">
        <v>110</v>
      </c>
      <c r="E17" t="s" s="107">
        <v>115</v>
      </c>
    </row>
    <row r="18" ht="13.65" customHeight="1">
      <c r="A18" t="s" s="95">
        <v>116</v>
      </c>
      <c r="B18" s="100" cm="1">
        <f t="array" ref="B18">'GuV'!C30/'GuV'!C6</f>
      </c>
      <c r="C18" s="100" cm="1">
        <f t="array" ref="C18">'GuV'!D30/'GuV'!D6</f>
      </c>
      <c r="D18" t="s" s="97">
        <v>117</v>
      </c>
      <c r="E18" s="94"/>
    </row>
    <row r="19" ht="13.65" customHeight="1">
      <c r="A19" t="s" s="91">
        <v>118</v>
      </c>
      <c r="B19" s="102" cm="1">
        <f t="array" ref="B19">'GuV'!C30/'Bilanz'!H12</f>
      </c>
      <c r="C19" s="102" cm="1">
        <f t="array" ref="C19">'GuV'!D30/'Bilanz'!I12</f>
      </c>
      <c r="D19" t="s" s="93">
        <v>119</v>
      </c>
      <c r="E19" s="98"/>
    </row>
    <row r="20" ht="13.65" customHeight="1">
      <c r="A20" t="s" s="95">
        <v>120</v>
      </c>
      <c r="B20" s="100" cm="1">
        <f t="array" ref="B20">('GuV'!C30+'GuV'!C23)/'Bilanz'!H24</f>
      </c>
      <c r="C20" s="100" cm="1">
        <f t="array" ref="C20">('GuV'!D30+'GuV'!D23)/'Bilanz'!I24</f>
      </c>
      <c r="D20" t="s" s="97">
        <v>112</v>
      </c>
      <c r="E20" s="98"/>
    </row>
    <row r="21" ht="13.55" customHeight="1">
      <c r="A21" s="108"/>
      <c r="B21" s="108"/>
      <c r="C21" s="108"/>
      <c r="D21" s="108"/>
      <c r="E21" s="109"/>
    </row>
    <row r="22" ht="13.55" customHeight="1">
      <c r="A22" s="18"/>
      <c r="B22" s="18"/>
      <c r="C22" s="18"/>
      <c r="D22" s="18"/>
      <c r="E22" s="18"/>
    </row>
    <row r="23" ht="18" customHeight="1">
      <c r="A23" t="s" s="110">
        <v>121</v>
      </c>
      <c r="B23" s="111"/>
      <c r="C23" s="111"/>
      <c r="D23" s="111"/>
      <c r="E23" s="112"/>
    </row>
    <row r="24" ht="27.75" customHeight="1">
      <c r="A24" t="s" s="113">
        <v>122</v>
      </c>
      <c r="B24" s="114"/>
      <c r="C24" s="114"/>
      <c r="D24" s="114"/>
      <c r="E24" s="115"/>
    </row>
    <row r="25" ht="18" customHeight="1">
      <c r="A25" t="s" s="116">
        <v>123</v>
      </c>
      <c r="B25" s="74"/>
      <c r="C25" s="73"/>
      <c r="D25" s="73"/>
      <c r="E25" s="117"/>
    </row>
    <row r="26" ht="14.6" customHeight="1">
      <c r="A26" t="s" s="91">
        <v>124</v>
      </c>
      <c r="B26" s="118">
        <v>320000</v>
      </c>
      <c r="C26" s="119"/>
      <c r="D26" s="119"/>
      <c r="E26" s="120"/>
    </row>
    <row r="27" ht="14.6" customHeight="1">
      <c r="A27" t="s" s="91">
        <v>125</v>
      </c>
      <c r="B27" s="118">
        <v>80000</v>
      </c>
      <c r="C27" s="119"/>
      <c r="D27" s="119"/>
      <c r="E27" s="120"/>
    </row>
    <row r="28" ht="18" customHeight="1">
      <c r="A28" t="s" s="121">
        <v>126</v>
      </c>
      <c r="B28" s="122"/>
      <c r="C28" s="73"/>
      <c r="D28" s="73"/>
      <c r="E28" s="117"/>
    </row>
    <row r="29" ht="14.6" customHeight="1">
      <c r="A29" t="s" s="91">
        <v>91</v>
      </c>
      <c r="B29" s="118">
        <v>120000</v>
      </c>
      <c r="C29" s="119"/>
      <c r="D29" s="119"/>
      <c r="E29" s="120"/>
    </row>
    <row r="30" ht="14.6" customHeight="1">
      <c r="A30" t="s" s="91">
        <v>127</v>
      </c>
      <c r="B30" s="118">
        <v>280000</v>
      </c>
      <c r="C30" s="119"/>
      <c r="D30" s="119"/>
      <c r="E30" s="120"/>
    </row>
    <row r="31" ht="13.55" customHeight="1">
      <c r="A31" s="123"/>
      <c r="B31" s="123"/>
      <c r="C31" s="64"/>
      <c r="D31" s="64"/>
      <c r="E31" s="64"/>
    </row>
    <row r="32" ht="18" customHeight="1">
      <c r="A32" t="s" s="124">
        <v>128</v>
      </c>
      <c r="B32" s="125"/>
      <c r="C32" s="126"/>
      <c r="D32" s="126"/>
      <c r="E32" s="127"/>
    </row>
    <row r="33" ht="14.6" customHeight="1">
      <c r="A33" t="s" s="91">
        <v>129</v>
      </c>
      <c r="B33" s="128" cm="1">
        <f t="array" ref="B33">B26+B27</f>
        <v>400000</v>
      </c>
      <c r="C33" s="16"/>
      <c r="D33" s="13"/>
      <c r="E33" s="13"/>
    </row>
    <row r="34" ht="14.6" customHeight="1">
      <c r="A34" t="s" s="95">
        <v>130</v>
      </c>
      <c r="B34" s="129" cm="1">
        <f t="array" ref="B34">B29+B30</f>
        <v>400000</v>
      </c>
      <c r="C34" s="99"/>
      <c r="D34" s="109"/>
      <c r="E34" s="109"/>
    </row>
    <row r="35" ht="14.6" customHeight="1">
      <c r="A35" t="s" s="91">
        <v>131</v>
      </c>
      <c r="B35" s="128" cm="1">
        <f t="array" ref="B35">(B26+B27)-(B29+B30)</f>
        <v>0</v>
      </c>
      <c r="C35" t="str" s="130" cm="1">
        <f t="array" ref="C35">IF((B26+B27)=(B29+B30),"Ausgeglichen","UNAUSGEGLICHEN – bitte prüfen!")</f>
        <v>Ausgeglichen</v>
      </c>
      <c r="D35" s="98"/>
      <c r="E35" s="109"/>
    </row>
    <row r="36" ht="14.6" customHeight="1">
      <c r="A36" t="s" s="131">
        <v>93</v>
      </c>
      <c r="B36" s="132" cm="1">
        <f t="array" ref="B36">B29/(B29+B30)</f>
        <v>0.3</v>
      </c>
      <c r="C36" t="s" s="133">
        <v>133</v>
      </c>
      <c r="D36" s="98"/>
      <c r="E36" s="109"/>
    </row>
    <row r="37" ht="14.6" customHeight="1">
      <c r="A37" t="s" s="91">
        <v>91</v>
      </c>
      <c r="B37" s="128" cm="1">
        <f t="array" ref="B37">B29</f>
        <v>120000</v>
      </c>
      <c r="C37" s="94"/>
      <c r="D37" s="109"/>
      <c r="E37" s="109"/>
    </row>
    <row r="38" ht="14.6" customHeight="1">
      <c r="A38" t="s" s="95">
        <v>134</v>
      </c>
      <c r="B38" s="129" cm="1">
        <f t="array" ref="B38">B29+B30</f>
        <v>400000</v>
      </c>
      <c r="C38" s="98"/>
      <c r="D38" s="109"/>
      <c r="E38" s="109"/>
    </row>
    <row r="39" ht="13.55" customHeight="1">
      <c r="A39" s="108"/>
      <c r="B39" s="108"/>
      <c r="C39" s="109"/>
      <c r="D39" s="109"/>
      <c r="E39" s="109"/>
    </row>
    <row r="40" ht="13.55" customHeight="1">
      <c r="A40" s="18"/>
      <c r="B40" s="18"/>
      <c r="C40" s="18"/>
      <c r="D40" s="18"/>
      <c r="E40" s="18"/>
    </row>
    <row r="41" ht="18" customHeight="1">
      <c r="A41" t="s" s="85">
        <v>135</v>
      </c>
      <c r="B41" s="86"/>
      <c r="C41" s="86"/>
      <c r="D41" s="111"/>
      <c r="E41" s="112"/>
    </row>
    <row r="42" ht="13.65" customHeight="1">
      <c r="A42" t="s" s="88">
        <v>136</v>
      </c>
      <c r="B42" t="s" s="89">
        <v>137</v>
      </c>
      <c r="C42" t="s" s="89">
        <v>138</v>
      </c>
      <c r="D42" s="16"/>
      <c r="E42" s="13"/>
    </row>
    <row r="43" ht="21.75" customHeight="1">
      <c r="A43" t="s" s="134">
        <v>139</v>
      </c>
      <c r="B43" t="s" s="135">
        <v>140</v>
      </c>
      <c r="C43" t="s" s="136">
        <v>141</v>
      </c>
      <c r="D43" s="98"/>
      <c r="E43" s="109"/>
    </row>
    <row r="44" ht="21.75" customHeight="1">
      <c r="A44" t="s" s="137">
        <v>142</v>
      </c>
      <c r="B44" t="s" s="138">
        <v>143</v>
      </c>
      <c r="C44" t="s" s="136">
        <v>141</v>
      </c>
      <c r="D44" s="98"/>
      <c r="E44" s="109"/>
    </row>
    <row r="45" ht="21.75" customHeight="1">
      <c r="A45" t="s" s="134">
        <v>144</v>
      </c>
      <c r="B45" t="s" s="135">
        <v>145</v>
      </c>
      <c r="C45" t="s" s="136">
        <v>141</v>
      </c>
      <c r="D45" s="98"/>
      <c r="E45" s="109"/>
    </row>
    <row r="46" ht="21.75" customHeight="1">
      <c r="A46" t="s" s="137">
        <v>146</v>
      </c>
      <c r="B46" t="s" s="138">
        <v>147</v>
      </c>
      <c r="C46" t="s" s="139">
        <v>148</v>
      </c>
      <c r="D46" s="98"/>
      <c r="E46" s="109"/>
    </row>
    <row r="47" ht="21.75" customHeight="1">
      <c r="A47" t="s" s="134">
        <v>149</v>
      </c>
      <c r="B47" t="s" s="135">
        <v>150</v>
      </c>
      <c r="C47" t="s" s="136">
        <v>141</v>
      </c>
      <c r="D47" s="98"/>
      <c r="E47" s="109"/>
    </row>
    <row r="48" ht="21.75" customHeight="1">
      <c r="A48" t="s" s="137">
        <v>151</v>
      </c>
      <c r="B48" t="s" s="138">
        <v>152</v>
      </c>
      <c r="C48" t="s" s="139">
        <v>148</v>
      </c>
      <c r="D48" s="98"/>
      <c r="E48" s="109"/>
    </row>
    <row r="49" ht="21.75" customHeight="1">
      <c r="A49" t="s" s="134">
        <v>153</v>
      </c>
      <c r="B49" t="s" s="135">
        <v>154</v>
      </c>
      <c r="C49" t="s" s="139">
        <v>148</v>
      </c>
      <c r="D49" s="98"/>
      <c r="E49" s="109"/>
    </row>
    <row r="50" ht="13.55" customHeight="1">
      <c r="A50" s="123"/>
      <c r="B50" s="123"/>
      <c r="C50" s="123"/>
      <c r="D50" s="18"/>
      <c r="E50" s="18"/>
    </row>
    <row r="51" ht="12.7" customHeight="1">
      <c r="A51" t="s" s="65">
        <v>155</v>
      </c>
      <c r="B51" s="66"/>
      <c r="C51" s="66"/>
      <c r="D51" s="66"/>
      <c r="E51" s="67"/>
    </row>
  </sheetData>
  <mergeCells count="10">
    <mergeCell ref="A1:E1"/>
    <mergeCell ref="A2:E2"/>
    <mergeCell ref="A3:E3"/>
    <mergeCell ref="A23:E23"/>
    <mergeCell ref="A24:E24"/>
    <mergeCell ref="A25:E25"/>
    <mergeCell ref="A28:E28"/>
    <mergeCell ref="A32:E32"/>
    <mergeCell ref="A41:E41"/>
    <mergeCell ref="A51:E5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38"/>
  <sheetViews>
    <sheetView workbookViewId="0" showGridLines="0" defaultGridColor="1"/>
  </sheetViews>
  <sheetFormatPr defaultColWidth="8.5" defaultRowHeight="15" customHeight="1" outlineLevelRow="0" outlineLevelCol="0"/>
  <cols>
    <col min="1" max="1" width="6" style="140" customWidth="1"/>
    <col min="2" max="2" width="40" style="140" customWidth="1"/>
    <col min="3" max="3" width="30" style="140" customWidth="1"/>
    <col min="4" max="5" width="18" style="140" customWidth="1"/>
    <col min="6" max="16384" width="8.5" style="140" customWidth="1"/>
  </cols>
  <sheetData>
    <row r="1" ht="27.75" customHeight="1">
      <c r="A1" t="s" s="69">
        <v>157</v>
      </c>
      <c r="B1" s="70"/>
      <c r="C1" s="70"/>
      <c r="D1" s="70"/>
      <c r="E1" s="84"/>
    </row>
    <row r="2" ht="13.65" customHeight="1">
      <c r="A2" t="s" s="10">
        <v>158</v>
      </c>
      <c r="B2" s="11"/>
      <c r="C2" s="11"/>
      <c r="D2" s="11"/>
      <c r="E2" s="12"/>
    </row>
    <row r="3" ht="13.55" customHeight="1">
      <c r="A3" s="64"/>
      <c r="B3" s="64"/>
      <c r="C3" s="64"/>
      <c r="D3" s="64"/>
      <c r="E3" s="64"/>
    </row>
    <row r="4" ht="18" customHeight="1">
      <c r="A4" t="s" s="85">
        <v>159</v>
      </c>
      <c r="B4" s="86"/>
      <c r="C4" s="86"/>
      <c r="D4" s="86"/>
      <c r="E4" s="87"/>
    </row>
    <row r="5" ht="13.65" customHeight="1">
      <c r="A5" t="s" s="88">
        <v>160</v>
      </c>
      <c r="B5" t="s" s="89">
        <v>161</v>
      </c>
      <c r="C5" t="s" s="89">
        <v>162</v>
      </c>
      <c r="D5" t="s" s="89">
        <v>163</v>
      </c>
      <c r="E5" t="s" s="90">
        <v>164</v>
      </c>
    </row>
    <row r="6" ht="21.75" customHeight="1">
      <c r="A6" t="s" s="141">
        <v>165</v>
      </c>
      <c r="B6" t="s" s="135">
        <v>166</v>
      </c>
      <c r="C6" t="s" s="135">
        <v>167</v>
      </c>
      <c r="D6" t="s" s="142">
        <v>168</v>
      </c>
      <c r="E6" t="s" s="143">
        <v>169</v>
      </c>
    </row>
    <row r="7" ht="21.75" customHeight="1">
      <c r="A7" t="s" s="141">
        <v>165</v>
      </c>
      <c r="B7" t="s" s="138">
        <v>170</v>
      </c>
      <c r="C7" t="s" s="138">
        <v>171</v>
      </c>
      <c r="D7" t="s" s="144">
        <v>172</v>
      </c>
      <c r="E7" t="s" s="145">
        <v>169</v>
      </c>
    </row>
    <row r="8" ht="21.75" customHeight="1">
      <c r="A8" t="s" s="141">
        <v>165</v>
      </c>
      <c r="B8" t="s" s="135">
        <v>173</v>
      </c>
      <c r="C8" t="s" s="135">
        <v>174</v>
      </c>
      <c r="D8" t="s" s="142">
        <v>175</v>
      </c>
      <c r="E8" t="s" s="143">
        <v>169</v>
      </c>
    </row>
    <row r="9" ht="21.75" customHeight="1">
      <c r="A9" t="s" s="146">
        <v>176</v>
      </c>
      <c r="B9" t="s" s="138">
        <v>177</v>
      </c>
      <c r="C9" t="s" s="138">
        <v>178</v>
      </c>
      <c r="D9" t="s" s="144">
        <v>179</v>
      </c>
      <c r="E9" t="s" s="145">
        <v>169</v>
      </c>
    </row>
    <row r="10" ht="21.75" customHeight="1">
      <c r="A10" t="s" s="146">
        <v>176</v>
      </c>
      <c r="B10" t="s" s="135">
        <v>180</v>
      </c>
      <c r="C10" t="s" s="135">
        <v>181</v>
      </c>
      <c r="D10" t="s" s="142">
        <v>175</v>
      </c>
      <c r="E10" t="s" s="143">
        <v>169</v>
      </c>
    </row>
    <row r="11" ht="21.75" customHeight="1">
      <c r="A11" t="s" s="146">
        <v>176</v>
      </c>
      <c r="B11" t="s" s="138">
        <v>182</v>
      </c>
      <c r="C11" t="s" s="138">
        <v>183</v>
      </c>
      <c r="D11" t="s" s="144">
        <v>168</v>
      </c>
      <c r="E11" t="s" s="145">
        <v>169</v>
      </c>
    </row>
    <row r="12" ht="21.75" customHeight="1">
      <c r="A12" t="s" s="147">
        <v>184</v>
      </c>
      <c r="B12" t="s" s="135">
        <v>185</v>
      </c>
      <c r="C12" t="s" s="135">
        <v>186</v>
      </c>
      <c r="D12" t="s" s="142">
        <v>187</v>
      </c>
      <c r="E12" t="s" s="143">
        <v>169</v>
      </c>
    </row>
    <row r="13" ht="21.75" customHeight="1">
      <c r="A13" t="s" s="147">
        <v>184</v>
      </c>
      <c r="B13" t="s" s="138">
        <v>188</v>
      </c>
      <c r="C13" t="s" s="138">
        <v>189</v>
      </c>
      <c r="D13" t="s" s="144">
        <v>187</v>
      </c>
      <c r="E13" t="s" s="145">
        <v>169</v>
      </c>
    </row>
    <row r="14" ht="21.75" customHeight="1">
      <c r="A14" t="s" s="147">
        <v>184</v>
      </c>
      <c r="B14" t="s" s="135">
        <v>190</v>
      </c>
      <c r="C14" t="s" s="135">
        <v>191</v>
      </c>
      <c r="D14" t="s" s="142">
        <v>187</v>
      </c>
      <c r="E14" t="s" s="143">
        <v>169</v>
      </c>
    </row>
    <row r="15" ht="21.75" customHeight="1">
      <c r="A15" t="s" s="147">
        <v>184</v>
      </c>
      <c r="B15" t="s" s="138">
        <v>192</v>
      </c>
      <c r="C15" t="s" s="138">
        <v>193</v>
      </c>
      <c r="D15" t="s" s="144">
        <v>194</v>
      </c>
      <c r="E15" t="s" s="145">
        <v>169</v>
      </c>
    </row>
    <row r="16" ht="21.75" customHeight="1">
      <c r="A16" t="s" s="147">
        <v>184</v>
      </c>
      <c r="B16" t="s" s="135">
        <v>195</v>
      </c>
      <c r="C16" t="s" s="135">
        <v>196</v>
      </c>
      <c r="D16" t="s" s="142">
        <v>197</v>
      </c>
      <c r="E16" t="s" s="143">
        <v>169</v>
      </c>
    </row>
    <row r="17" ht="13.55" customHeight="1">
      <c r="A17" s="108"/>
      <c r="B17" s="108"/>
      <c r="C17" s="108"/>
      <c r="D17" s="108"/>
      <c r="E17" s="108"/>
    </row>
    <row r="18" ht="13.55" customHeight="1">
      <c r="A18" s="18"/>
      <c r="B18" s="18"/>
      <c r="C18" s="18"/>
      <c r="D18" s="18"/>
      <c r="E18" s="18"/>
    </row>
    <row r="19" ht="18" customHeight="1">
      <c r="A19" t="s" s="85">
        <v>198</v>
      </c>
      <c r="B19" s="86"/>
      <c r="C19" s="86"/>
      <c r="D19" s="86"/>
      <c r="E19" s="87"/>
    </row>
    <row r="20" ht="13.65" customHeight="1">
      <c r="A20" t="s" s="88">
        <v>199</v>
      </c>
      <c r="B20" t="s" s="89">
        <v>200</v>
      </c>
      <c r="C20" t="s" s="89">
        <v>201</v>
      </c>
      <c r="D20" t="s" s="89">
        <v>202</v>
      </c>
      <c r="E20" t="s" s="90">
        <v>203</v>
      </c>
    </row>
    <row r="21" ht="21.75" customHeight="1">
      <c r="A21" t="s" s="148">
        <v>165</v>
      </c>
      <c r="B21" t="s" s="135">
        <v>204</v>
      </c>
      <c r="C21" t="s" s="135">
        <v>205</v>
      </c>
      <c r="D21" t="s" s="142">
        <v>206</v>
      </c>
      <c r="E21" s="149"/>
    </row>
    <row r="22" ht="21.75" customHeight="1">
      <c r="A22" t="s" s="150">
        <v>176</v>
      </c>
      <c r="B22" t="s" s="138">
        <v>207</v>
      </c>
      <c r="C22" t="s" s="138">
        <v>208</v>
      </c>
      <c r="D22" t="s" s="144">
        <v>206</v>
      </c>
      <c r="E22" s="151"/>
    </row>
    <row r="23" ht="21.75" customHeight="1">
      <c r="A23" t="s" s="148">
        <v>184</v>
      </c>
      <c r="B23" t="s" s="135">
        <v>209</v>
      </c>
      <c r="C23" t="s" s="135">
        <v>210</v>
      </c>
      <c r="D23" t="s" s="142">
        <v>206</v>
      </c>
      <c r="E23" s="149"/>
    </row>
    <row r="24" ht="21.75" customHeight="1">
      <c r="A24" t="s" s="150">
        <v>211</v>
      </c>
      <c r="B24" t="s" s="138">
        <v>212</v>
      </c>
      <c r="C24" t="s" s="138">
        <v>213</v>
      </c>
      <c r="D24" t="s" s="144">
        <v>206</v>
      </c>
      <c r="E24" s="151"/>
    </row>
    <row r="25" ht="21.75" customHeight="1">
      <c r="A25" t="s" s="148">
        <v>214</v>
      </c>
      <c r="B25" t="s" s="135">
        <v>215</v>
      </c>
      <c r="C25" t="s" s="135">
        <v>216</v>
      </c>
      <c r="D25" t="s" s="142">
        <v>217</v>
      </c>
      <c r="E25" s="149"/>
    </row>
    <row r="26" ht="21.75" customHeight="1">
      <c r="A26" t="s" s="150">
        <v>218</v>
      </c>
      <c r="B26" t="s" s="138">
        <v>219</v>
      </c>
      <c r="C26" t="s" s="138">
        <v>220</v>
      </c>
      <c r="D26" t="s" s="144">
        <v>206</v>
      </c>
      <c r="E26" s="151"/>
    </row>
    <row r="27" ht="21.75" customHeight="1">
      <c r="A27" t="s" s="148">
        <v>221</v>
      </c>
      <c r="B27" t="s" s="135">
        <v>222</v>
      </c>
      <c r="C27" t="s" s="135">
        <v>223</v>
      </c>
      <c r="D27" t="s" s="142">
        <v>206</v>
      </c>
      <c r="E27" s="149"/>
    </row>
    <row r="28" ht="21.75" customHeight="1">
      <c r="A28" t="s" s="150">
        <v>224</v>
      </c>
      <c r="B28" t="s" s="138">
        <v>225</v>
      </c>
      <c r="C28" t="s" s="138">
        <v>226</v>
      </c>
      <c r="D28" t="s" s="144">
        <v>227</v>
      </c>
      <c r="E28" s="151"/>
    </row>
    <row r="29" ht="13.55" customHeight="1">
      <c r="A29" s="108"/>
      <c r="B29" s="108"/>
      <c r="C29" s="108"/>
      <c r="D29" s="108"/>
      <c r="E29" s="108"/>
    </row>
    <row r="30" ht="13.55" customHeight="1">
      <c r="A30" s="18"/>
      <c r="B30" s="18"/>
      <c r="C30" s="18"/>
      <c r="D30" s="18"/>
      <c r="E30" s="18"/>
    </row>
    <row r="31" ht="18" customHeight="1">
      <c r="A31" t="s" s="85">
        <v>228</v>
      </c>
      <c r="B31" s="86"/>
      <c r="C31" s="86"/>
      <c r="D31" s="86"/>
      <c r="E31" s="87"/>
    </row>
    <row r="32" ht="18" customHeight="1">
      <c r="A32" t="s" s="152">
        <v>229</v>
      </c>
      <c r="B32" t="s" s="153">
        <v>230</v>
      </c>
      <c r="C32" s="154"/>
      <c r="D32" s="154"/>
      <c r="E32" s="155"/>
    </row>
    <row r="33" ht="18" customHeight="1">
      <c r="A33" t="s" s="156">
        <v>231</v>
      </c>
      <c r="B33" t="s" s="157">
        <v>232</v>
      </c>
      <c r="C33" s="158"/>
      <c r="D33" s="158"/>
      <c r="E33" s="159"/>
    </row>
    <row r="34" ht="18" customHeight="1">
      <c r="A34" t="s" s="160">
        <v>233</v>
      </c>
      <c r="B34" t="s" s="161">
        <v>234</v>
      </c>
      <c r="C34" s="162"/>
      <c r="D34" s="162"/>
      <c r="E34" s="163"/>
    </row>
    <row r="35" ht="18" customHeight="1">
      <c r="A35" t="s" s="156">
        <v>235</v>
      </c>
      <c r="B35" t="s" s="157">
        <v>236</v>
      </c>
      <c r="C35" s="158"/>
      <c r="D35" s="158"/>
      <c r="E35" s="159"/>
    </row>
    <row r="36" ht="18" customHeight="1">
      <c r="A36" t="s" s="160">
        <v>237</v>
      </c>
      <c r="B36" t="s" s="161">
        <v>238</v>
      </c>
      <c r="C36" s="162"/>
      <c r="D36" s="162"/>
      <c r="E36" s="163"/>
    </row>
    <row r="37" ht="13.55" customHeight="1">
      <c r="A37" s="123"/>
      <c r="B37" s="123"/>
      <c r="C37" s="123"/>
      <c r="D37" s="123"/>
      <c r="E37" s="123"/>
    </row>
    <row r="38" ht="12.7" customHeight="1">
      <c r="A38" t="s" s="65">
        <v>239</v>
      </c>
      <c r="B38" s="66"/>
      <c r="C38" s="66"/>
      <c r="D38" s="66"/>
      <c r="E38" s="67"/>
    </row>
  </sheetData>
  <mergeCells count="11">
    <mergeCell ref="A1:E1"/>
    <mergeCell ref="A2:E2"/>
    <mergeCell ref="A4:E4"/>
    <mergeCell ref="A19:E19"/>
    <mergeCell ref="A31:E31"/>
    <mergeCell ref="B32:E32"/>
    <mergeCell ref="B33:E33"/>
    <mergeCell ref="B34:E34"/>
    <mergeCell ref="B35:E35"/>
    <mergeCell ref="B36:E36"/>
    <mergeCell ref="A38:E38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