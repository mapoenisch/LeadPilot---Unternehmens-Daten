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ilanz" sheetId="1" state="visible" r:id="rId1"/>
    <sheet xmlns:r="http://schemas.openxmlformats.org/officeDocument/2006/relationships" name="GuV" sheetId="2" state="visible" r:id="rId2"/>
    <sheet xmlns:r="http://schemas.openxmlformats.org/officeDocument/2006/relationships" name="Kennzahl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&quot; €&quot;;\-#,##0&quot; €&quot;;\–"/>
    <numFmt numFmtId="165" formatCode="00%;\-00%;\–"/>
    <numFmt numFmtId="166" formatCode="0%;\-0%;\–"/>
    <numFmt numFmtId="167" formatCode="#,##0.0;\-#,##0.0;\–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4C2E8E"/>
      <sz val="22"/>
    </font>
    <font>
      <name val="Arial"/>
      <charset val="1"/>
      <family val="0"/>
      <color rgb="FF6B6B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4C2E8E"/>
      <sz val="9.5"/>
    </font>
    <font>
      <name val="Arial"/>
      <charset val="1"/>
      <family val="0"/>
      <color rgb="FF1A1A2E"/>
      <sz val="9.5"/>
    </font>
    <font>
      <name val="Arial"/>
      <charset val="1"/>
      <family val="0"/>
      <b val="1"/>
      <color rgb="FF1A1A2E"/>
      <sz val="9.5"/>
    </font>
    <font>
      <name val="Arial"/>
      <charset val="1"/>
      <family val="0"/>
      <b val="1"/>
      <color rgb="FF6B6B80"/>
      <sz val="9"/>
    </font>
    <font>
      <name val="Arial"/>
      <charset val="1"/>
      <family val="0"/>
      <b val="1"/>
      <color rgb="FF1E7A5A"/>
      <sz val="9.5"/>
    </font>
    <font>
      <name val="Arial"/>
      <charset val="1"/>
      <family val="0"/>
      <i val="1"/>
      <color rgb="FF6B6B80"/>
      <sz val="8"/>
    </font>
    <font>
      <name val="Arial"/>
      <charset val="1"/>
      <family val="0"/>
      <color rgb="FF6B6B80"/>
      <sz val="9.5"/>
    </font>
    <font>
      <name val="Arial"/>
      <charset val="1"/>
      <family val="0"/>
      <color rgb="FF6B6B80"/>
      <sz val="8"/>
    </font>
    <font>
      <name val="Arial"/>
      <charset val="1"/>
      <family val="0"/>
      <b val="1"/>
      <color rgb="FF6B6B80"/>
      <sz val="9.5"/>
    </font>
    <font>
      <name val="Arial"/>
      <charset val="1"/>
      <family val="0"/>
      <i val="1"/>
      <color rgb="FF6B6B80"/>
      <sz val="9.5"/>
    </font>
    <font>
      <name val="Arial"/>
      <charset val="1"/>
      <family val="0"/>
      <b val="1"/>
      <color rgb="FFE24A4A"/>
      <sz val="10"/>
    </font>
    <font>
      <name val="Arial"/>
      <charset val="1"/>
      <family val="0"/>
      <color rgb="FF6B6B80"/>
      <sz val="8.5"/>
    </font>
    <font>
      <name val="Arial"/>
      <charset val="1"/>
      <family val="0"/>
      <b val="1"/>
      <color rgb="FF1E7A5A"/>
      <sz val="8.5"/>
    </font>
    <font>
      <name val="Arial"/>
      <charset val="1"/>
      <family val="0"/>
      <b val="1"/>
      <color rgb="FFB87333"/>
      <sz val="8.5"/>
    </font>
    <font>
      <name val="Arial"/>
      <charset val="1"/>
      <family val="0"/>
      <b val="1"/>
      <color rgb="FFC0392B"/>
      <sz val="8.5"/>
    </font>
  </fonts>
  <fills count="6">
    <fill>
      <patternFill/>
    </fill>
    <fill>
      <patternFill patternType="gray125"/>
    </fill>
    <fill>
      <patternFill patternType="solid">
        <fgColor rgb="FF6B46C1"/>
        <bgColor rgb="FF4C2E8E"/>
      </patternFill>
    </fill>
    <fill>
      <patternFill patternType="solid">
        <fgColor rgb="FF4C2E8E"/>
        <bgColor rgb="FF6B46C1"/>
      </patternFill>
    </fill>
    <fill>
      <patternFill patternType="solid">
        <fgColor rgb="FFFFFFFF"/>
        <bgColor rgb="FFF1EAFB"/>
      </patternFill>
    </fill>
    <fill>
      <patternFill patternType="solid">
        <fgColor rgb="FFF1EAFB"/>
        <bgColor rgb="FFE5E0EE"/>
      </patternFill>
    </fill>
  </fills>
  <borders count="5">
    <border>
      <left/>
      <right/>
      <top/>
      <bottom/>
      <diagonal/>
    </border>
    <border>
      <left/>
      <right/>
      <top style="thin">
        <color rgb="FFE5E0EE"/>
      </top>
      <bottom/>
      <diagonal/>
    </border>
    <border>
      <left/>
      <right/>
      <top style="medium">
        <color rgb="FF6B46C1"/>
      </top>
      <bottom/>
      <diagonal/>
    </border>
    <border>
      <left/>
      <right/>
      <top style="thin">
        <color rgb="FF6B46C1"/>
      </top>
      <bottom/>
      <diagonal/>
    </border>
    <border>
      <left/>
      <right/>
      <top style="medium">
        <color rgb="FFE24A4A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 indent="1"/>
    </xf>
    <xf numFmtId="0" fontId="7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general" vertical="center" indent="1"/>
    </xf>
    <xf numFmtId="0" fontId="0" fillId="5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left" vertical="center"/>
    </xf>
    <xf numFmtId="164" fontId="8" fillId="0" borderId="3" applyAlignment="1" pivotButton="0" quotePrefix="0" xfId="0">
      <alignment horizontal="left" vertical="center"/>
    </xf>
    <xf numFmtId="165" fontId="16" fillId="0" borderId="3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indent="1"/>
    </xf>
    <xf numFmtId="165" fontId="17" fillId="0" borderId="0" applyAlignment="1" pivotButton="0" quotePrefix="0" xfId="0">
      <alignment horizontal="left" vertical="center"/>
    </xf>
    <xf numFmtId="0" fontId="18" fillId="5" borderId="4" applyAlignment="1" pivotButton="0" quotePrefix="0" xfId="0">
      <alignment horizontal="left" vertical="center"/>
    </xf>
    <xf numFmtId="164" fontId="18" fillId="5" borderId="4" applyAlignment="1" pivotButton="0" quotePrefix="0" xfId="0">
      <alignment horizontal="left" vertical="center"/>
    </xf>
    <xf numFmtId="165" fontId="16" fillId="5" borderId="4" applyAlignment="1" pivotButton="0" quotePrefix="0" xfId="0">
      <alignment horizontal="left" vertical="center"/>
    </xf>
    <xf numFmtId="0" fontId="0" fillId="5" borderId="4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164" fontId="10" fillId="5" borderId="0" applyAlignment="1" pivotButton="0" quotePrefix="0" xfId="0">
      <alignment horizontal="left" vertical="center"/>
    </xf>
    <xf numFmtId="164" fontId="14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164" fontId="14" fillId="5" borderId="0" applyAlignment="1" pivotButton="0" quotePrefix="0" xfId="0">
      <alignment horizontal="right" vertical="center"/>
    </xf>
    <xf numFmtId="0" fontId="20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21" fillId="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center" wrapText="1" indent="1"/>
    </xf>
    <xf numFmtId="0" fontId="7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164" fontId="8" fillId="5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general" vertical="center" indent="1"/>
    </xf>
    <xf numFmtId="0" fontId="0" fillId="5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indent="1"/>
    </xf>
    <xf numFmtId="0" fontId="8" fillId="0" borderId="3" applyAlignment="1" pivotButton="0" quotePrefix="0" xfId="0">
      <alignment horizontal="left" vertical="center"/>
    </xf>
    <xf numFmtId="164" fontId="8" fillId="0" borderId="3" applyAlignment="1" pivotButton="0" quotePrefix="0" xfId="0">
      <alignment horizontal="left" vertical="center"/>
    </xf>
    <xf numFmtId="165" fontId="16" fillId="0" borderId="3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indent="1"/>
    </xf>
    <xf numFmtId="165" fontId="17" fillId="0" borderId="0" applyAlignment="1" pivotButton="0" quotePrefix="0" xfId="0">
      <alignment horizontal="left" vertical="center"/>
    </xf>
    <xf numFmtId="0" fontId="18" fillId="5" borderId="4" applyAlignment="1" pivotButton="0" quotePrefix="0" xfId="0">
      <alignment horizontal="left" vertical="center"/>
    </xf>
    <xf numFmtId="164" fontId="18" fillId="5" borderId="4" applyAlignment="1" pivotButton="0" quotePrefix="0" xfId="0">
      <alignment horizontal="left" vertical="center"/>
    </xf>
    <xf numFmtId="165" fontId="16" fillId="5" borderId="4" applyAlignment="1" pivotButton="0" quotePrefix="0" xfId="0">
      <alignment horizontal="left" vertical="center"/>
    </xf>
    <xf numFmtId="0" fontId="0" fillId="5" borderId="4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164" fontId="10" fillId="5" borderId="0" applyAlignment="1" pivotButton="0" quotePrefix="0" xfId="0">
      <alignment horizontal="left" vertical="center"/>
    </xf>
    <xf numFmtId="164" fontId="14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right" vertical="center"/>
    </xf>
    <xf numFmtId="0" fontId="19" fillId="5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164" fontId="14" fillId="5" borderId="0" applyAlignment="1" pivotButton="0" quotePrefix="0" xfId="0">
      <alignment horizontal="right" vertical="center"/>
    </xf>
    <xf numFmtId="0" fontId="20" fillId="5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left" vertical="center"/>
    </xf>
    <xf numFmtId="165" fontId="14" fillId="5" borderId="0" applyAlignment="1" pivotButton="0" quotePrefix="0" xfId="0">
      <alignment horizontal="right" vertical="center"/>
    </xf>
    <xf numFmtId="0" fontId="21" fillId="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1E7A5A"/>
      <rgbColor rgb="FFC0C0C0"/>
      <rgbColor rgb="FF808080"/>
      <rgbColor rgb="FF9999FF"/>
      <rgbColor rgb="FF6B46C1"/>
      <rgbColor rgb="FFF1EAFB"/>
      <rgbColor rgb="FFCCFFFF"/>
      <rgbColor rgb="FF660066"/>
      <rgbColor rgb="FFFF8080"/>
      <rgbColor rgb="FF0066CC"/>
      <rgbColor rgb="FFE5E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24A4A"/>
      <rgbColor rgb="FF6B6B80"/>
      <rgbColor rgb="FF969696"/>
      <rgbColor rgb="FF003366"/>
      <rgbColor rgb="FF339966"/>
      <rgbColor rgb="FF003300"/>
      <rgbColor rgb="FF333300"/>
      <rgbColor rgb="FFC0392B"/>
      <rgbColor rgb="FF993366"/>
      <rgbColor rgb="FF4C2E8E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H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.2" customWidth="1" style="61" min="1" max="1"/>
    <col width="42" customWidth="1" style="61" min="2" max="2"/>
    <col width="15" customWidth="1" style="61" min="3" max="4"/>
    <col width="4" customWidth="1" style="61" min="5" max="5"/>
    <col width="42" customWidth="1" style="61" min="6" max="6"/>
    <col width="15" customWidth="1" style="61" min="7" max="8"/>
  </cols>
  <sheetData>
    <row r="2" ht="30" customHeight="1" s="62">
      <c r="B2" s="63" t="inlineStr">
        <is>
          <t>Bilanz zum 31. Dezember 2025</t>
        </is>
      </c>
    </row>
    <row r="3" ht="15" customHeight="1" s="62">
      <c r="B3" s="64" t="inlineStr">
        <is>
          <t>LeadPilot GmbH, Leipzig · § 266 HGB · Angaben in EUR · fiktives Schulungsunternehmen</t>
        </is>
      </c>
    </row>
    <row r="5" ht="24" customHeight="1" s="62">
      <c r="B5" s="65" t="inlineStr">
        <is>
          <t>AKTIVA  (Mittelverwendung)</t>
        </is>
      </c>
      <c r="C5" s="66" t="n"/>
      <c r="D5" s="66" t="n"/>
      <c r="E5" s="66" t="n"/>
      <c r="F5" s="65" t="inlineStr">
        <is>
          <t>PASSIVA  (Mittelherkunft)</t>
        </is>
      </c>
      <c r="G5" s="66" t="n"/>
      <c r="H5" s="66" t="n"/>
    </row>
    <row r="6" ht="21.75" customHeight="1" s="62">
      <c r="B6" s="67" t="inlineStr">
        <is>
          <t>Position</t>
        </is>
      </c>
      <c r="C6" s="68" t="inlineStr">
        <is>
          <t>31.12.2025</t>
        </is>
      </c>
      <c r="D6" s="68" t="inlineStr">
        <is>
          <t>31.12.2024</t>
        </is>
      </c>
      <c r="E6" s="69" t="n"/>
      <c r="F6" s="67" t="inlineStr">
        <is>
          <t>Position</t>
        </is>
      </c>
      <c r="G6" s="68" t="inlineStr">
        <is>
          <t>31.12.2025</t>
        </is>
      </c>
      <c r="H6" s="68" t="inlineStr">
        <is>
          <t>31.12.2024</t>
        </is>
      </c>
    </row>
    <row r="7" ht="16.5" customHeight="1" s="62">
      <c r="B7" s="70" t="inlineStr">
        <is>
          <t>A. ANLAGEVERMÖGEN</t>
        </is>
      </c>
      <c r="F7" s="70" t="inlineStr">
        <is>
          <t>A. EIGENKAPITAL</t>
        </is>
      </c>
    </row>
    <row r="8" ht="16.5" customHeight="1" s="62">
      <c r="B8" s="71" t="inlineStr">
        <is>
          <t>I. Immaterielle Vermögensgegenstände</t>
        </is>
      </c>
      <c r="C8" s="72" t="n">
        <v>22000</v>
      </c>
      <c r="D8" s="72" t="n">
        <v>16000</v>
      </c>
      <c r="F8" s="71" t="inlineStr">
        <is>
          <t>I. Gezeichnetes Kapital</t>
        </is>
      </c>
      <c r="G8" s="72" t="n">
        <v>31250</v>
      </c>
      <c r="H8" s="72" t="n">
        <v>31250</v>
      </c>
    </row>
    <row r="9" ht="16.5" customHeight="1" s="62">
      <c r="B9" s="71" t="inlineStr">
        <is>
          <t>II. Sachanlagen (Hardware, Geschäftsausstattung)</t>
        </is>
      </c>
      <c r="C9" s="72" t="n">
        <v>38000</v>
      </c>
      <c r="D9" s="72" t="n">
        <v>30000</v>
      </c>
      <c r="F9" s="71" t="inlineStr">
        <is>
          <t>II. Kapitalrücklage</t>
        </is>
      </c>
      <c r="G9" s="72" t="n">
        <v>1193750</v>
      </c>
      <c r="H9" s="72" t="n">
        <v>1193750</v>
      </c>
    </row>
    <row r="10" ht="16.5" customHeight="1" s="62">
      <c r="B10" s="73" t="inlineStr">
        <is>
          <t>Summe Anlagevermögen</t>
        </is>
      </c>
      <c r="C10" s="74">
        <f>SUM(C8:C9)</f>
        <v/>
      </c>
      <c r="D10" s="74">
        <f>SUM(D8:D9)</f>
        <v/>
      </c>
      <c r="F10" s="71" t="inlineStr">
        <is>
          <t>III. Verlustvortrag</t>
        </is>
      </c>
      <c r="G10" s="72" t="n">
        <v>-547000</v>
      </c>
      <c r="H10" s="72" t="n">
        <v>-240000</v>
      </c>
    </row>
    <row r="11" ht="16.5" customHeight="1" s="62">
      <c r="B11" s="70" t="inlineStr">
        <is>
          <t>B. UMLAUFVERMÖGEN</t>
        </is>
      </c>
      <c r="F11" s="71" t="inlineStr">
        <is>
          <t>IV. Jahresfehlbetrag</t>
        </is>
      </c>
      <c r="G11" s="72" t="n">
        <v>-334000</v>
      </c>
      <c r="H11" s="72" t="n">
        <v>-307000</v>
      </c>
    </row>
    <row r="12" ht="16.5" customHeight="1" s="62">
      <c r="B12" s="71" t="inlineStr">
        <is>
          <t>I. Forderungen aus Lieferungen und Leistungen</t>
        </is>
      </c>
      <c r="C12" s="72" t="n">
        <v>34000</v>
      </c>
      <c r="D12" s="72" t="n">
        <v>19000</v>
      </c>
      <c r="F12" s="73" t="inlineStr">
        <is>
          <t>Summe Eigenkapital</t>
        </is>
      </c>
      <c r="G12" s="74">
        <f>SUM(G8:G11)</f>
        <v/>
      </c>
      <c r="H12" s="74">
        <f>SUM(H8:H11)</f>
        <v/>
      </c>
    </row>
    <row r="13" ht="16.5" customHeight="1" s="62">
      <c r="B13" s="71" t="inlineStr">
        <is>
          <t>II. Sonstige Vermögensgegenstände (USt, Kautionen)</t>
        </is>
      </c>
      <c r="C13" s="72" t="n">
        <v>14000</v>
      </c>
      <c r="D13" s="72" t="n">
        <v>9000</v>
      </c>
      <c r="F13" s="71" t="inlineStr">
        <is>
          <t>B. RÜCKSTELLUNGEN (Urlaub, Abschlusskosten)</t>
        </is>
      </c>
      <c r="G13" s="72" t="n">
        <v>30000</v>
      </c>
      <c r="H13" s="72" t="n">
        <v>22000</v>
      </c>
    </row>
    <row r="14" ht="16.5" customHeight="1" s="62">
      <c r="B14" s="71" t="inlineStr">
        <is>
          <t>III. Kassenbestand und Bankguthaben</t>
        </is>
      </c>
      <c r="C14" s="72" t="n">
        <v>363000</v>
      </c>
      <c r="D14" s="72" t="n">
        <v>686000</v>
      </c>
      <c r="F14" s="70" t="inlineStr">
        <is>
          <t>C. VERBINDLICHKEITEN</t>
        </is>
      </c>
    </row>
    <row r="15" ht="16.5" customHeight="1" s="62">
      <c r="B15" s="73" t="inlineStr">
        <is>
          <t>Summe Umlaufvermögen</t>
        </is>
      </c>
      <c r="C15" s="74">
        <f>SUM(C12:C14)</f>
        <v/>
      </c>
      <c r="D15" s="74">
        <f>SUM(D12:D14)</f>
        <v/>
      </c>
      <c r="F15" s="71" t="inlineStr">
        <is>
          <t>Gegenüber Kreditinstituten (SAB-Innovationsdarlehen)</t>
        </is>
      </c>
      <c r="G15" s="72" t="n">
        <v>18000</v>
      </c>
      <c r="H15" s="72" t="n">
        <v>25000</v>
      </c>
    </row>
    <row r="16" ht="16.5" customHeight="1" s="62">
      <c r="B16" s="71" t="inlineStr">
        <is>
          <t>C. RECHNUNGSABGRENZUNGSPOSTEN</t>
        </is>
      </c>
      <c r="C16" s="72" t="n">
        <v>8000</v>
      </c>
      <c r="D16" s="72" t="n">
        <v>5000</v>
      </c>
      <c r="F16" s="71" t="inlineStr">
        <is>
          <t>Aus Lieferungen und Leistungen</t>
        </is>
      </c>
      <c r="G16" s="72" t="n">
        <v>21000</v>
      </c>
      <c r="H16" s="72" t="n">
        <v>13000</v>
      </c>
    </row>
    <row r="17" ht="16.5" customHeight="1" s="62">
      <c r="F17" s="71" t="inlineStr">
        <is>
          <t>Sonstige (Lohnsteuer, Sozialversicherung, USt)</t>
        </is>
      </c>
      <c r="G17" s="72" t="n">
        <v>28000</v>
      </c>
      <c r="H17" s="72" t="n">
        <v>13000</v>
      </c>
    </row>
    <row r="18" ht="16.5" customHeight="1" s="62">
      <c r="B18" s="75" t="inlineStr">
        <is>
          <t>BILANZSUMME AKTIVA</t>
        </is>
      </c>
      <c r="C18" s="76">
        <f>C10+C15+C16</f>
        <v/>
      </c>
      <c r="D18" s="76">
        <f>D10+D15+D16</f>
        <v/>
      </c>
      <c r="F18" s="73" t="inlineStr">
        <is>
          <t>Summe Verbindlichkeiten</t>
        </is>
      </c>
      <c r="G18" s="74">
        <f>SUM(G15:G17)</f>
        <v/>
      </c>
      <c r="H18" s="74">
        <f>SUM(H15:H17)</f>
        <v/>
      </c>
    </row>
    <row r="19" ht="16.5" customHeight="1" s="62">
      <c r="F19" s="71" t="inlineStr">
        <is>
          <t>D. RECHNUNGSABGRENZUNGSPOSTEN (Jahresvorauszahlungen)</t>
        </is>
      </c>
      <c r="G19" s="72" t="n">
        <v>38000</v>
      </c>
      <c r="H19" s="72" t="n">
        <v>14000</v>
      </c>
    </row>
    <row r="20" ht="16.5" customHeight="1" s="62">
      <c r="F20" s="75" t="inlineStr">
        <is>
          <t>BILANZSUMME PASSIVA</t>
        </is>
      </c>
      <c r="G20" s="76">
        <f>G12+G13+G18+G19</f>
        <v/>
      </c>
      <c r="H20" s="76">
        <f>H12+H13+H18+H19</f>
        <v/>
      </c>
    </row>
    <row r="22" ht="15" customHeight="1" s="62">
      <c r="B22" s="77" t="inlineStr">
        <is>
          <t>Prüfung Bilanzgleichung (Aktiva − Passiva)</t>
        </is>
      </c>
      <c r="C22" s="78">
        <f>C18-G20</f>
        <v/>
      </c>
      <c r="D22" s="78">
        <f>D18-H20</f>
        <v/>
      </c>
    </row>
    <row r="24" ht="46.25" customHeight="1" s="62">
      <c r="B24" s="79" t="inlineStr">
        <is>
          <t>Fiktives Unternehmenskonzept im Rahmen der Weiterbildung Digital Sales Manager (DBA). Alle Werte orientieren sich an realen Größenordnungen deutscher B2B-SaaS-Unternehmen in der Seed-Phase. Quelle der Ansätze: LeadPilot Faktenblatt v1.1, Abschnitt 6.</t>
        </is>
      </c>
    </row>
    <row r="26">
      <c r="B26" s="80" t="inlineStr">
        <is>
          <t>Position "II. Sonstige Vermögensgegenstände" (14.000 €) umfasst die Mietkaution von 8.550 € (3 Nettokaltmieten, Gewerberaummietvertrag v. 15.08.2022, Augustusplatz 9) sowie USt-Forderungen. Keine Sachanlage Grundstück/Gebäude – LeadPilot ist Mieterin, kein Grundbesitz.</t>
        </is>
      </c>
    </row>
  </sheetData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J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.2" customWidth="1" style="61" min="1" max="1"/>
    <col width="46" customWidth="1" style="61" min="2" max="2"/>
    <col width="14" customWidth="1" style="61" min="3" max="6"/>
    <col width="15" customWidth="1" style="61" min="7" max="8"/>
    <col width="12" customWidth="1" style="61" min="9" max="9"/>
    <col width="34" customWidth="1" style="61" min="10" max="10"/>
  </cols>
  <sheetData>
    <row r="2" ht="30" customHeight="1" s="62">
      <c r="B2" s="63" t="inlineStr">
        <is>
          <t>Gewinn- und Verlustrechnung 2025</t>
        </is>
      </c>
    </row>
    <row r="3" ht="15" customHeight="1" s="62">
      <c r="B3" s="64" t="inlineStr">
        <is>
          <t>LeadPilot GmbH · Umsatzkostenverfahren · Angaben in EUR · negative Werte = Aufwand</t>
        </is>
      </c>
    </row>
    <row r="5" ht="24" customHeight="1" s="62">
      <c r="B5" s="65" t="inlineStr">
        <is>
          <t>ERGEBNISRECHNUNG GESCHÄFTSJAHR 2025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</row>
    <row r="6" ht="21.75" customHeight="1" s="62">
      <c r="B6" s="67" t="inlineStr">
        <is>
          <t>Position</t>
        </is>
      </c>
      <c r="C6" s="68" t="inlineStr">
        <is>
          <t>Q1 2025</t>
        </is>
      </c>
      <c r="D6" s="68" t="inlineStr">
        <is>
          <t>Q2 2025</t>
        </is>
      </c>
      <c r="E6" s="68" t="inlineStr">
        <is>
          <t>Q3 2025</t>
        </is>
      </c>
      <c r="F6" s="68" t="inlineStr">
        <is>
          <t>Q4 2025</t>
        </is>
      </c>
      <c r="G6" s="68" t="inlineStr">
        <is>
          <t>FY 2025</t>
        </is>
      </c>
      <c r="H6" s="68" t="inlineStr">
        <is>
          <t>FY 2024</t>
        </is>
      </c>
      <c r="I6" s="68" t="inlineStr">
        <is>
          <t>Δ %</t>
        </is>
      </c>
      <c r="J6" s="67" t="inlineStr">
        <is>
          <t>Anmerkung</t>
        </is>
      </c>
    </row>
    <row r="7" ht="19.5" customHeight="1" s="62">
      <c r="B7" s="81" t="inlineStr">
        <is>
          <t>ERLÖSE</t>
        </is>
      </c>
      <c r="C7" s="82" t="n"/>
      <c r="D7" s="82" t="n"/>
      <c r="E7" s="82" t="n"/>
      <c r="F7" s="82" t="n"/>
      <c r="G7" s="82" t="n"/>
      <c r="H7" s="82" t="n"/>
      <c r="I7" s="82" t="n"/>
      <c r="J7" s="82" t="n"/>
    </row>
    <row r="8" ht="16.5" customHeight="1" s="62">
      <c r="B8" s="71" t="inlineStr">
        <is>
          <t>Abo-Umsatz (wiederkehrend)</t>
        </is>
      </c>
      <c r="C8" s="72" t="n">
        <v>58559</v>
      </c>
      <c r="D8" s="72" t="n">
        <v>69281</v>
      </c>
      <c r="E8" s="72" t="n">
        <v>82152</v>
      </c>
      <c r="F8" s="72" t="n">
        <v>97608</v>
      </c>
      <c r="G8" s="83">
        <f>SUM(C8:F8)</f>
        <v/>
      </c>
      <c r="H8" s="72" t="n">
        <v>149000</v>
      </c>
      <c r="I8" s="84">
        <f>IF(H8=0,"–",(G8-H8)/ABS(H8))</f>
        <v/>
      </c>
      <c r="J8" s="85" t="inlineStr">
        <is>
          <t>Kerngeschäft, MRR × 12 Monate</t>
        </is>
      </c>
    </row>
    <row r="9" ht="16.5" customHeight="1" s="62">
      <c r="B9" s="71" t="inlineStr">
        <is>
          <t>Onboarding &amp; Setup</t>
        </is>
      </c>
      <c r="C9" s="72" t="n">
        <v>4000</v>
      </c>
      <c r="D9" s="72" t="n">
        <v>5500</v>
      </c>
      <c r="E9" s="72" t="n">
        <v>6500</v>
      </c>
      <c r="F9" s="72" t="n">
        <v>7000</v>
      </c>
      <c r="G9" s="83">
        <f>SUM(C9:F9)</f>
        <v/>
      </c>
      <c r="H9" s="72" t="n">
        <v>12000</v>
      </c>
      <c r="I9" s="84">
        <f>IF(H9=0,"–",(G9-H9)/ABS(H9))</f>
        <v/>
      </c>
      <c r="J9" s="85" t="inlineStr">
        <is>
          <t>Einmalgebühr Growth und Pro</t>
        </is>
      </c>
    </row>
    <row r="10" ht="16.5" customHeight="1" s="62">
      <c r="B10" s="71" t="inlineStr">
        <is>
          <t>Sonstige Erlöse</t>
        </is>
      </c>
      <c r="C10" s="72" t="n">
        <v>1000</v>
      </c>
      <c r="D10" s="72" t="n">
        <v>1200</v>
      </c>
      <c r="E10" s="72" t="n">
        <v>1500</v>
      </c>
      <c r="F10" s="72" t="n">
        <v>1700</v>
      </c>
      <c r="G10" s="83">
        <f>SUM(C10:F10)</f>
        <v/>
      </c>
      <c r="H10" s="72" t="n">
        <v>3000</v>
      </c>
      <c r="I10" s="84">
        <f>IF(H10=0,"–",(G10-H10)/ABS(H10))</f>
        <v/>
      </c>
      <c r="J10" s="85" t="inlineStr">
        <is>
          <t>API-Nutzung, Schulungen</t>
        </is>
      </c>
    </row>
    <row r="11" ht="16.5" customHeight="1" s="62">
      <c r="B11" s="86" t="inlineStr">
        <is>
          <t>Umsatzerlöse</t>
        </is>
      </c>
      <c r="C11" s="87">
        <f>SUM(C8:C10)</f>
        <v/>
      </c>
      <c r="D11" s="87">
        <f>SUM(D8:D10)</f>
        <v/>
      </c>
      <c r="E11" s="87">
        <f>SUM(E8:E10)</f>
        <v/>
      </c>
      <c r="F11" s="87">
        <f>SUM(F8:F10)</f>
        <v/>
      </c>
      <c r="G11" s="87">
        <f>SUM(G8:G10)</f>
        <v/>
      </c>
      <c r="H11" s="87">
        <f>SUM(H8:H10)</f>
        <v/>
      </c>
      <c r="I11" s="88">
        <f>IF(H11=0,"–",(G11-H11)/ABS(H11))</f>
        <v/>
      </c>
    </row>
    <row r="12" ht="19.5" customHeight="1" s="62">
      <c r="B12" s="81" t="inlineStr">
        <is>
          <t>UMSATZKOSTEN</t>
        </is>
      </c>
      <c r="C12" s="82" t="n"/>
      <c r="D12" s="82" t="n"/>
      <c r="E12" s="82" t="n"/>
      <c r="F12" s="82" t="n"/>
      <c r="G12" s="82" t="n"/>
      <c r="H12" s="82" t="n"/>
      <c r="I12" s="82" t="n"/>
      <c r="J12" s="82" t="n"/>
    </row>
    <row r="13" ht="16.5" customHeight="1" s="62">
      <c r="B13" s="71" t="inlineStr">
        <is>
          <t>Umsatzkosten (Hosting, KI-API, Customer Success)</t>
        </is>
      </c>
      <c r="C13" s="72" t="n">
        <v>-23000</v>
      </c>
      <c r="D13" s="72" t="n">
        <v>-27400</v>
      </c>
      <c r="E13" s="72" t="n">
        <v>-32400</v>
      </c>
      <c r="F13" s="72" t="n">
        <v>-38200</v>
      </c>
      <c r="G13" s="83">
        <f>SUM(C13:F13)</f>
        <v/>
      </c>
      <c r="H13" s="72" t="n">
        <v>-64000</v>
      </c>
      <c r="I13" s="84">
        <f>IF(H13=0,"–",(G13-H13)/ABS(H13))</f>
        <v/>
      </c>
      <c r="J13" s="85" t="inlineStr">
        <is>
          <t>davon 82.000 € Personal Customer Success</t>
        </is>
      </c>
    </row>
    <row r="14" ht="16.5" customHeight="1" s="62">
      <c r="B14" s="86" t="inlineStr">
        <is>
          <t>Bruttogewinn</t>
        </is>
      </c>
      <c r="C14" s="87">
        <f>C11+C13</f>
        <v/>
      </c>
      <c r="D14" s="87">
        <f>D11+D13</f>
        <v/>
      </c>
      <c r="E14" s="87">
        <f>E11+E13</f>
        <v/>
      </c>
      <c r="F14" s="87">
        <f>F11+F13</f>
        <v/>
      </c>
      <c r="G14" s="87">
        <f>G11+G13</f>
        <v/>
      </c>
      <c r="H14" s="87">
        <f>H11+H13</f>
        <v/>
      </c>
      <c r="I14" s="88">
        <f>IF(H14=0,"–",(G14-H14)/ABS(H14))</f>
        <v/>
      </c>
    </row>
    <row r="15" ht="16.5" customHeight="1" s="62">
      <c r="B15" s="89" t="inlineStr">
        <is>
          <t>Bruttomarge</t>
        </is>
      </c>
      <c r="C15" s="90">
        <f>C14/C11</f>
        <v/>
      </c>
      <c r="D15" s="90">
        <f>D14/D11</f>
        <v/>
      </c>
      <c r="E15" s="90">
        <f>E14/E11</f>
        <v/>
      </c>
      <c r="F15" s="90">
        <f>F14/F11</f>
        <v/>
      </c>
      <c r="G15" s="90">
        <f>G14/G11</f>
        <v/>
      </c>
      <c r="H15" s="90">
        <f>H14/H11</f>
        <v/>
      </c>
    </row>
    <row r="16" ht="19.5" customHeight="1" s="62">
      <c r="B16" s="81" t="inlineStr">
        <is>
          <t>BETRIEBLICHE AUFWENDUNGEN</t>
        </is>
      </c>
      <c r="C16" s="82" t="n"/>
      <c r="D16" s="82" t="n"/>
      <c r="E16" s="82" t="n"/>
      <c r="F16" s="82" t="n"/>
      <c r="G16" s="82" t="n"/>
      <c r="H16" s="82" t="n"/>
      <c r="I16" s="82" t="n"/>
      <c r="J16" s="82" t="n"/>
    </row>
    <row r="17" ht="16.5" customHeight="1" s="62">
      <c r="B17" s="71" t="inlineStr">
        <is>
          <t>Sales &amp; Marketing</t>
        </is>
      </c>
      <c r="C17" s="72" t="n">
        <v>-47500</v>
      </c>
      <c r="D17" s="72" t="n">
        <v>-50500</v>
      </c>
      <c r="E17" s="72" t="n">
        <v>-53500</v>
      </c>
      <c r="F17" s="72" t="n">
        <v>-57500</v>
      </c>
      <c r="G17" s="83">
        <f>SUM(C17:F17)</f>
        <v/>
      </c>
      <c r="H17" s="72" t="n">
        <v>-141000</v>
      </c>
      <c r="I17" s="84">
        <f>IF(H17=0,"–",(G17-H17)/ABS(H17))</f>
        <v/>
      </c>
      <c r="J17" s="85" t="inlineStr">
        <is>
          <t>3 FTE, Media-Spend 40.500 €</t>
        </is>
      </c>
    </row>
    <row r="18" ht="16.5" customHeight="1" s="62">
      <c r="B18" s="71" t="inlineStr">
        <is>
          <t>Forschung &amp; Entwicklung</t>
        </is>
      </c>
      <c r="C18" s="72" t="n">
        <v>-47500</v>
      </c>
      <c r="D18" s="72" t="n">
        <v>-50500</v>
      </c>
      <c r="E18" s="72" t="n">
        <v>-53500</v>
      </c>
      <c r="F18" s="72" t="n">
        <v>-56500</v>
      </c>
      <c r="G18" s="83">
        <f>SUM(C18:F18)</f>
        <v/>
      </c>
      <c r="H18" s="72" t="n">
        <v>-164000</v>
      </c>
      <c r="I18" s="84">
        <f>IF(H18=0,"–",(G18-H18)/ABS(H18))</f>
        <v/>
      </c>
      <c r="J18" s="85" t="inlineStr">
        <is>
          <t>4 FTE Engineering und Product</t>
        </is>
      </c>
    </row>
    <row r="19" ht="16.5" customHeight="1" s="62">
      <c r="B19" s="71" t="inlineStr">
        <is>
          <t>General &amp; Administrative</t>
        </is>
      </c>
      <c r="C19" s="72" t="n">
        <v>-25000</v>
      </c>
      <c r="D19" s="72" t="n">
        <v>-26000</v>
      </c>
      <c r="E19" s="72" t="n">
        <v>-27500</v>
      </c>
      <c r="F19" s="72" t="n">
        <v>-28500</v>
      </c>
      <c r="G19" s="83">
        <f>SUM(C19:F19)</f>
        <v/>
      </c>
      <c r="H19" s="72" t="n">
        <v>-83000</v>
      </c>
      <c r="I19" s="84">
        <f>IF(H19=0,"–",(G19-H19)/ABS(H19))</f>
        <v/>
      </c>
      <c r="J19" s="85" t="inlineStr">
        <is>
          <t>Geschäftsführung, Miete, Recht</t>
        </is>
      </c>
    </row>
    <row r="20" ht="16.5" customHeight="1" s="62">
      <c r="B20" s="86" t="inlineStr">
        <is>
          <t>EBITDA</t>
        </is>
      </c>
      <c r="C20" s="87">
        <f>C14+SUM(C17:C19)</f>
        <v/>
      </c>
      <c r="D20" s="87">
        <f>D14+SUM(D17:D19)</f>
        <v/>
      </c>
      <c r="E20" s="87">
        <f>E14+SUM(E17:E19)</f>
        <v/>
      </c>
      <c r="F20" s="87">
        <f>F14+SUM(F17:F19)</f>
        <v/>
      </c>
      <c r="G20" s="87">
        <f>G14+SUM(G17:G19)</f>
        <v/>
      </c>
      <c r="H20" s="87">
        <f>H14+SUM(H17:H19)</f>
        <v/>
      </c>
      <c r="I20" s="88">
        <f>IF(H20=0,"–",(G20-H20)/ABS(H20))</f>
        <v/>
      </c>
    </row>
    <row r="21" ht="16.5" customHeight="1" s="62">
      <c r="B21" s="71" t="inlineStr">
        <is>
          <t>Abschreibungen</t>
        </is>
      </c>
      <c r="C21" s="72" t="n">
        <v>-4200</v>
      </c>
      <c r="D21" s="72" t="n">
        <v>-4400</v>
      </c>
      <c r="E21" s="72" t="n">
        <v>-4600</v>
      </c>
      <c r="F21" s="72" t="n">
        <v>-4800</v>
      </c>
      <c r="G21" s="83">
        <f>SUM(C21:F21)</f>
        <v/>
      </c>
      <c r="H21" s="72" t="n">
        <v>-14000</v>
      </c>
      <c r="I21" s="84">
        <f>IF(H21=0,"–",(G21-H21)/ABS(H21))</f>
        <v/>
      </c>
      <c r="J21" s="85" t="inlineStr">
        <is>
          <t>Hardware, Geschäftsausstattung</t>
        </is>
      </c>
    </row>
    <row r="22" ht="16.5" customHeight="1" s="62">
      <c r="B22" s="86" t="inlineStr">
        <is>
          <t>EBIT</t>
        </is>
      </c>
      <c r="C22" s="87">
        <f>C20+C21</f>
        <v/>
      </c>
      <c r="D22" s="87">
        <f>D20+D21</f>
        <v/>
      </c>
      <c r="E22" s="87">
        <f>E20+E21</f>
        <v/>
      </c>
      <c r="F22" s="87">
        <f>F20+F21</f>
        <v/>
      </c>
      <c r="G22" s="87">
        <f>G20+G21</f>
        <v/>
      </c>
      <c r="H22" s="87">
        <f>H20+H21</f>
        <v/>
      </c>
      <c r="I22" s="88">
        <f>IF(H22=0,"–",(G22-H22)/ABS(H22))</f>
        <v/>
      </c>
    </row>
    <row r="23" ht="16.5" customHeight="1" s="62">
      <c r="B23" s="71" t="inlineStr">
        <is>
          <t>Finanzergebnis</t>
        </is>
      </c>
      <c r="C23" s="72" t="n">
        <v>-1300</v>
      </c>
      <c r="D23" s="72" t="n">
        <v>-1400</v>
      </c>
      <c r="E23" s="72" t="n">
        <v>-1400</v>
      </c>
      <c r="F23" s="72" t="n">
        <v>-1400</v>
      </c>
      <c r="G23" s="83">
        <f>SUM(C23:F23)</f>
        <v/>
      </c>
      <c r="H23" s="72" t="n">
        <v>-4000</v>
      </c>
      <c r="I23" s="84">
        <f>IF(H23=0,"–",(G23-H23)/ABS(H23))</f>
        <v/>
      </c>
      <c r="J23" s="85" t="inlineStr">
        <is>
          <t>Zinsen SAB-Innovationsdarlehen</t>
        </is>
      </c>
    </row>
    <row r="24" ht="16.5" customHeight="1" s="62">
      <c r="B24" s="86" t="inlineStr">
        <is>
          <t>Ergebnis vor Steuern</t>
        </is>
      </c>
      <c r="C24" s="87">
        <f>C22+C23</f>
        <v/>
      </c>
      <c r="D24" s="87">
        <f>D22+D23</f>
        <v/>
      </c>
      <c r="E24" s="87">
        <f>E22+E23</f>
        <v/>
      </c>
      <c r="F24" s="87">
        <f>F22+F23</f>
        <v/>
      </c>
      <c r="G24" s="87">
        <f>G22+G23</f>
        <v/>
      </c>
      <c r="H24" s="87">
        <f>H22+H23</f>
        <v/>
      </c>
      <c r="I24" s="88">
        <f>IF(H24=0,"–",(G24-H24)/ABS(H24))</f>
        <v/>
      </c>
    </row>
    <row r="25" ht="16.5" customHeight="1" s="62">
      <c r="B25" s="71" t="inlineStr">
        <is>
          <t>Sonstige Steuern</t>
        </is>
      </c>
      <c r="C25" s="72" t="n">
        <v>-375</v>
      </c>
      <c r="D25" s="72" t="n">
        <v>-375</v>
      </c>
      <c r="E25" s="72" t="n">
        <v>-375</v>
      </c>
      <c r="F25" s="72" t="n">
        <v>-375</v>
      </c>
      <c r="G25" s="83">
        <f>SUM(C25:F25)</f>
        <v/>
      </c>
      <c r="H25" s="72" t="n">
        <v>-1000</v>
      </c>
      <c r="I25" s="84">
        <f>IF(H25=0,"–",(G25-H25)/ABS(H25))</f>
        <v/>
      </c>
      <c r="J25" s="85" t="inlineStr">
        <is>
          <t>keine Ertragsteuern – Verlustjahr</t>
        </is>
      </c>
    </row>
    <row r="26" ht="16.5" customHeight="1" s="62">
      <c r="B26" s="91" t="inlineStr">
        <is>
          <t>JAHRESFEHLBETRAG</t>
        </is>
      </c>
      <c r="C26" s="92">
        <f>C24+C25</f>
        <v/>
      </c>
      <c r="D26" s="92">
        <f>D24+D25</f>
        <v/>
      </c>
      <c r="E26" s="92">
        <f>E24+E25</f>
        <v/>
      </c>
      <c r="F26" s="92">
        <f>F24+F25</f>
        <v/>
      </c>
      <c r="G26" s="92">
        <f>G24+G25</f>
        <v/>
      </c>
      <c r="H26" s="92">
        <f>H24+H25</f>
        <v/>
      </c>
      <c r="I26" s="93">
        <f>G26/ABS(H26)-SIGN(H26)</f>
        <v/>
      </c>
      <c r="J26" s="94" t="n"/>
    </row>
    <row r="29" ht="24" customHeight="1" s="62">
      <c r="B29" s="65" t="inlineStr">
        <is>
          <t>KOSTENSTRUKTUR NACH KOSTENART 2025</t>
        </is>
      </c>
      <c r="C29" s="66" t="n"/>
      <c r="D29" s="66" t="n"/>
      <c r="E29" s="66" t="n"/>
      <c r="F29" s="66" t="n"/>
      <c r="G29" s="66" t="n"/>
      <c r="H29" s="66" t="n"/>
      <c r="I29" s="66" t="n"/>
      <c r="J29" s="66" t="n"/>
    </row>
    <row r="30" ht="21.75" customHeight="1" s="62">
      <c r="B30" s="67" t="inlineStr">
        <is>
          <t>Kostenart</t>
        </is>
      </c>
      <c r="C30" s="68" t="inlineStr">
        <is>
          <t>Betrag 2025</t>
        </is>
      </c>
      <c r="D30" s="68" t="inlineStr">
        <is>
          <t>Anteil</t>
        </is>
      </c>
      <c r="E30" s="67" t="n"/>
      <c r="F30" s="67" t="n"/>
      <c r="G30" s="67" t="n"/>
      <c r="H30" s="67" t="n"/>
      <c r="I30" s="67" t="n"/>
      <c r="J30" s="67" t="inlineStr">
        <is>
          <t>Erläuterung</t>
        </is>
      </c>
    </row>
    <row r="31" ht="15.75" customHeight="1" s="62">
      <c r="B31" s="71" t="inlineStr">
        <is>
          <t>Personalaufwand gesamt (Ø 9 FTE)</t>
        </is>
      </c>
      <c r="C31" s="95" t="n">
        <v>490000</v>
      </c>
      <c r="D31" s="96">
        <f>C31/$C$40</f>
        <v/>
      </c>
      <c r="J31" s="85" t="inlineStr">
        <is>
          <t>Arbeitgeber-Gesamtkosten, Ø 54.400 € je FTE</t>
        </is>
      </c>
    </row>
    <row r="32" ht="15.75" customHeight="1" s="62">
      <c r="B32" s="89" t="inlineStr">
        <is>
          <t xml:space="preserve">   davon Customer Success (in Umsatzkosten)</t>
        </is>
      </c>
      <c r="C32" s="72" t="n">
        <v>82000</v>
      </c>
      <c r="D32" s="96">
        <f>C32/$C$40</f>
        <v/>
      </c>
      <c r="J32" s="85" t="inlineStr">
        <is>
          <t>2 FTE zum Jahresende</t>
        </is>
      </c>
    </row>
    <row r="33" ht="15.75" customHeight="1" s="62">
      <c r="B33" s="89" t="inlineStr">
        <is>
          <t xml:space="preserve">   davon Forschung &amp; Entwicklung</t>
        </is>
      </c>
      <c r="C33" s="72" t="n">
        <v>196000</v>
      </c>
      <c r="D33" s="96">
        <f>C33/$C$40</f>
        <v/>
      </c>
      <c r="J33" s="85" t="inlineStr">
        <is>
          <t>4 FTE Engineering und Product</t>
        </is>
      </c>
    </row>
    <row r="34" ht="15.75" customHeight="1" s="62">
      <c r="B34" s="89" t="inlineStr">
        <is>
          <t xml:space="preserve">   davon Sales &amp; Marketing</t>
        </is>
      </c>
      <c r="C34" s="72" t="n">
        <v>157000</v>
      </c>
      <c r="D34" s="96">
        <f>C34/$C$40</f>
        <v/>
      </c>
      <c r="J34" s="85" t="inlineStr">
        <is>
          <t>2 FTE Sales, 1 FTE Marketing</t>
        </is>
      </c>
    </row>
    <row r="35" ht="15.75" customHeight="1" s="62">
      <c r="B35" s="89" t="inlineStr">
        <is>
          <t xml:space="preserve">   davon Geschäftsführung und Verwaltung</t>
        </is>
      </c>
      <c r="C35" s="72" t="n">
        <v>55000</v>
      </c>
      <c r="D35" s="96">
        <f>C35/$C$40</f>
        <v/>
      </c>
      <c r="J35" s="85" t="inlineStr">
        <is>
          <t>CEO / Ops</t>
        </is>
      </c>
    </row>
    <row r="36" ht="15.75" customHeight="1" s="62">
      <c r="B36" s="71" t="inlineStr">
        <is>
          <t>Hosting, KI-API, Zahlungsabwicklung</t>
        </is>
      </c>
      <c r="C36" s="95" t="n">
        <v>39000</v>
      </c>
      <c r="D36" s="96">
        <f>C36/$C$40</f>
        <v/>
      </c>
      <c r="J36" s="85" t="inlineStr">
        <is>
          <t>europäische Rechenzentren, Frankfurt am Main</t>
        </is>
      </c>
    </row>
    <row r="37" ht="15.75" customHeight="1" s="62">
      <c r="B37" s="71" t="inlineStr">
        <is>
          <t>Marketing-Media-Spend</t>
        </is>
      </c>
      <c r="C37" s="95" t="n">
        <v>40500</v>
      </c>
      <c r="D37" s="96">
        <f>C37/$C$40</f>
        <v/>
      </c>
      <c r="J37" s="85" t="inlineStr">
        <is>
          <t>LinkedIn, SEO, Webinare, Outbound</t>
        </is>
      </c>
    </row>
    <row r="38" ht="15.75" customHeight="1" s="62">
      <c r="B38" s="71" t="inlineStr">
        <is>
          <t>Software, Tools, Lizenzen</t>
        </is>
      </c>
      <c r="C38" s="95" t="n">
        <v>23500</v>
      </c>
      <c r="D38" s="96">
        <f>C38/$C$40</f>
        <v/>
      </c>
      <c r="J38" s="85" t="inlineStr">
        <is>
          <t>Entwicklungs- und Vertriebs-Tools</t>
        </is>
      </c>
    </row>
    <row r="39" ht="15.75" customHeight="1" s="62">
      <c r="B39" s="71" t="inlineStr">
        <is>
          <t>Miete, Recht, Buchhaltung, Versicherung</t>
        </is>
      </c>
      <c r="C39" s="95" t="n">
        <v>52000</v>
      </c>
      <c r="D39" s="96">
        <f>C39/$C$40</f>
        <v/>
      </c>
      <c r="J39" s="85" t="inlineStr">
        <is>
          <t>Büroflächen Augustusplatz 9, Leipzig – angemietet</t>
        </is>
      </c>
    </row>
    <row r="40" ht="15" customHeight="1" s="62">
      <c r="B40" s="86" t="inlineStr">
        <is>
          <t>Gesamtaufwand (Umsatzkosten + OPEX)</t>
        </is>
      </c>
      <c r="C40" s="87">
        <f>C31+SUM(C36:C39)</f>
        <v/>
      </c>
      <c r="D40" s="97" t="n"/>
    </row>
    <row r="42" ht="28.35" customHeight="1" s="62">
      <c r="B42" s="79" t="inlineStr">
        <is>
          <t>Abgleich: Gesamtaufwand entspricht Umsatzkosten (121.000 €) zuzüglich betrieblicher Aufwendungen (524.000 €) = 645.000 €. Ansätze und Herleitung: LeadPilot Faktenblatt v1.1, Abschnitt 5.</t>
        </is>
      </c>
    </row>
    <row r="44">
      <c r="B44" s="80" t="inlineStr">
        <is>
          <t>Position "Miete, Recht, Buchhaltung, Versicherung" (52.000 €, siehe Zeile 39) gliedert sich in: Mietkosten Augustusplatz 9 39.800 € (Nettokaltmiete, Nebenkosten, 2 Stellplätze), Rechtsberatung 5.000 €, Buchhaltung/Steuerberatung 5.700 €, Versicherungen 1.500 € – gemäß Gewerberaummietvertrag v. 15.08.2022 mit der Augustusplatz Immobilien Leipzig GmbH &amp; Co. KG.</t>
        </is>
      </c>
    </row>
  </sheetData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6B46C1"/>
    <outlinePr summaryBelow="1" summaryRight="1"/>
    <pageSetUpPr fitToPage="1"/>
  </sheetPr>
  <dimension ref="B2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2.2" customWidth="1" style="61" min="1" max="1"/>
    <col width="40" customWidth="1" style="61" min="2" max="2"/>
    <col width="16" customWidth="1" style="61" min="3" max="4"/>
    <col width="14" customWidth="1" style="61" min="5" max="6"/>
    <col width="44" customWidth="1" style="61" min="7" max="7"/>
  </cols>
  <sheetData>
    <row r="2" ht="30" customHeight="1" s="62">
      <c r="B2" s="63" t="inlineStr">
        <is>
          <t>Bilanz- und Finanzkennzahlen</t>
        </is>
      </c>
    </row>
    <row r="3" ht="15" customHeight="1" s="62">
      <c r="B3" s="64" t="inlineStr">
        <is>
          <t>abgeleitet aus Bilanz und GuV – alle Werte formelbasiert</t>
        </is>
      </c>
    </row>
    <row r="5" ht="24" customHeight="1" s="62">
      <c r="B5" s="65" t="inlineStr">
        <is>
          <t>KENNZAHLEN AUS DEM JAHRESABSCHLUSS</t>
        </is>
      </c>
      <c r="C5" s="66" t="n"/>
      <c r="D5" s="66" t="n"/>
      <c r="E5" s="66" t="n"/>
      <c r="F5" s="66" t="n"/>
      <c r="G5" s="66" t="n"/>
    </row>
    <row r="6" ht="21.75" customHeight="1" s="62">
      <c r="B6" s="67" t="inlineStr">
        <is>
          <t>Kennzahl</t>
        </is>
      </c>
      <c r="C6" s="68" t="inlineStr">
        <is>
          <t>2025</t>
        </is>
      </c>
      <c r="D6" s="68" t="inlineStr">
        <is>
          <t>2024</t>
        </is>
      </c>
      <c r="E6" s="68" t="inlineStr">
        <is>
          <t>Zielwert</t>
        </is>
      </c>
      <c r="F6" s="98" t="inlineStr">
        <is>
          <t>Status</t>
        </is>
      </c>
      <c r="G6" s="67" t="inlineStr">
        <is>
          <t>Aussage</t>
        </is>
      </c>
    </row>
    <row r="7" ht="18" customHeight="1" s="62">
      <c r="B7" s="71" t="inlineStr">
        <is>
          <t>Bilanzsumme</t>
        </is>
      </c>
      <c r="C7" s="83">
        <f>Bilanz!C18</f>
        <v/>
      </c>
      <c r="D7" s="99">
        <f>Bilanz!D18</f>
        <v/>
      </c>
      <c r="E7" s="100" t="n"/>
      <c r="G7" s="101" t="inlineStr">
        <is>
          <t>Sinkt durch den Mittelverbrauch aus der Seed-Runde</t>
        </is>
      </c>
    </row>
    <row r="8" ht="18" customHeight="1" s="62">
      <c r="B8" s="102" t="inlineStr">
        <is>
          <t>Eigenkapital</t>
        </is>
      </c>
      <c r="C8" s="103">
        <f>Bilanz!G12</f>
        <v/>
      </c>
      <c r="D8" s="104">
        <f>Bilanz!H12</f>
        <v/>
      </c>
      <c r="E8" s="105" t="n"/>
      <c r="F8" s="82" t="n"/>
      <c r="G8" s="106" t="inlineStr">
        <is>
          <t>Getragen von Stammkapital und Kapitalrücklage</t>
        </is>
      </c>
    </row>
    <row r="9" ht="18" customHeight="1" s="62">
      <c r="B9" s="71" t="inlineStr">
        <is>
          <t>Eigenkapitalquote</t>
        </is>
      </c>
      <c r="C9" s="107">
        <f>Bilanz!G12/Bilanz!C18</f>
        <v/>
      </c>
      <c r="D9" s="84">
        <f>Bilanz!H12/Bilanz!D18</f>
        <v/>
      </c>
      <c r="E9" s="108" t="n">
        <v>0.4</v>
      </c>
      <c r="F9" s="109" t="inlineStr">
        <is>
          <t>erreicht</t>
        </is>
      </c>
      <c r="G9" s="101" t="inlineStr">
        <is>
          <t>Hoch, da eigenkapitalfinanziert und kaum Fremdkapital</t>
        </is>
      </c>
    </row>
    <row r="10" ht="18" customHeight="1" s="62">
      <c r="B10" s="102" t="inlineStr">
        <is>
          <t>Liquide Mittel</t>
        </is>
      </c>
      <c r="C10" s="103">
        <f>Bilanz!C14</f>
        <v/>
      </c>
      <c r="D10" s="104">
        <f>Bilanz!D14</f>
        <v/>
      </c>
      <c r="E10" s="110" t="n">
        <v>300000</v>
      </c>
      <c r="F10" s="111" t="inlineStr">
        <is>
          <t>erreicht</t>
        </is>
      </c>
      <c r="G10" s="106" t="inlineStr">
        <is>
          <t>Runway von 14 Monaten zum 31.12.2025</t>
        </is>
      </c>
    </row>
    <row r="11" ht="18" customHeight="1" s="62">
      <c r="B11" s="71" t="inlineStr">
        <is>
          <t>Umsatzerlöse</t>
        </is>
      </c>
      <c r="C11" s="83">
        <f>GuV!G11</f>
        <v/>
      </c>
      <c r="D11" s="99">
        <f>GuV!H11</f>
        <v/>
      </c>
      <c r="E11" s="100" t="n"/>
      <c r="G11" s="101" t="inlineStr">
        <is>
          <t>Verdoppelung gegenüber dem Vorjahr</t>
        </is>
      </c>
    </row>
    <row r="12" ht="18" customHeight="1" s="62">
      <c r="B12" s="102" t="inlineStr">
        <is>
          <t>Bruttomarge</t>
        </is>
      </c>
      <c r="C12" s="112">
        <f>GuV!G15</f>
        <v/>
      </c>
      <c r="D12" s="113">
        <f>GuV!H15</f>
        <v/>
      </c>
      <c r="E12" s="114" t="n">
        <v>0.68</v>
      </c>
      <c r="F12" s="115" t="inlineStr">
        <is>
          <t>knapp verfehlt</t>
        </is>
      </c>
      <c r="G12" s="106" t="inlineStr">
        <is>
          <t>Unter Ziel – KI-API-Kosten und CS-Aufwand belasten</t>
        </is>
      </c>
    </row>
    <row r="13" ht="18" customHeight="1" s="62">
      <c r="B13" s="71" t="inlineStr">
        <is>
          <t>EBITDA</t>
        </is>
      </c>
      <c r="C13" s="83">
        <f>GuV!G20</f>
        <v/>
      </c>
      <c r="D13" s="99">
        <f>GuV!H20</f>
        <v/>
      </c>
      <c r="E13" s="116" t="n">
        <v>-264000</v>
      </c>
      <c r="F13" s="117" t="inlineStr">
        <is>
          <t>verfehlt</t>
        </is>
      </c>
      <c r="G13" s="101" t="inlineStr">
        <is>
          <t>Entspricht der Burn Rate von 25.750 € pro Monat</t>
        </is>
      </c>
    </row>
    <row r="14" ht="18" customHeight="1" s="62">
      <c r="B14" s="102" t="inlineStr">
        <is>
          <t>EBITDA-Marge</t>
        </is>
      </c>
      <c r="C14" s="112">
        <f>GuV!G20/GuV!G11</f>
        <v/>
      </c>
      <c r="D14" s="113">
        <f>GuV!H20/GuV!H11</f>
        <v/>
      </c>
      <c r="E14" s="105" t="n"/>
      <c r="F14" s="82" t="n"/>
      <c r="G14" s="106" t="inlineStr">
        <is>
          <t>Verbessert sich, bleibt aber deutlich negativ</t>
        </is>
      </c>
    </row>
    <row r="15" ht="18" customHeight="1" s="62">
      <c r="B15" s="71" t="inlineStr">
        <is>
          <t>Jahresfehlbetrag</t>
        </is>
      </c>
      <c r="C15" s="83">
        <f>GuV!G26</f>
        <v/>
      </c>
      <c r="D15" s="99">
        <f>GuV!H26</f>
        <v/>
      </c>
      <c r="E15" s="100" t="n"/>
      <c r="G15" s="101" t="inlineStr">
        <is>
          <t>Planmäßiger Verlust in der Wachstumsphase</t>
        </is>
      </c>
    </row>
    <row r="16" ht="18" customHeight="1" s="62">
      <c r="B16" s="102" t="inlineStr">
        <is>
          <t>Burn Rate (Ø monatlich)</t>
        </is>
      </c>
      <c r="C16" s="103">
        <f>-GuV!G20/12</f>
        <v/>
      </c>
      <c r="D16" s="104">
        <f>-GuV!H20/12</f>
        <v/>
      </c>
      <c r="E16" s="110" t="n">
        <v>22000</v>
      </c>
      <c r="F16" s="118" t="inlineStr">
        <is>
          <t>verfehlt</t>
        </is>
      </c>
      <c r="G16" s="106" t="inlineStr">
        <is>
          <t>Ziel 2026: unter 23.000 € pro Monat</t>
        </is>
      </c>
    </row>
    <row r="17" ht="18" customHeight="1" s="62">
      <c r="B17" s="71" t="inlineStr">
        <is>
          <t>Runway ab Bilanzstichtag</t>
        </is>
      </c>
      <c r="C17" s="119">
        <f>Bilanz!C14/(-GuV!G20/12)</f>
        <v/>
      </c>
      <c r="D17" s="120">
        <f>Bilanz!D14/(-GuV!H20/12)</f>
        <v/>
      </c>
      <c r="E17" s="121" t="n">
        <v>18</v>
      </c>
      <c r="F17" s="122" t="inlineStr">
        <is>
          <t>knapp verfehlt</t>
        </is>
      </c>
      <c r="G17" s="101" t="inlineStr">
        <is>
          <t>In Monaten – Anschlussfinanzierung ab Q3 2026 vorzubereiten</t>
        </is>
      </c>
    </row>
    <row r="18" ht="18" customHeight="1" s="62">
      <c r="B18" s="102" t="inlineStr">
        <is>
          <t>Verschuldungsgrad</t>
        </is>
      </c>
      <c r="C18" s="112">
        <f>(Bilanz!G13+Bilanz!G18)/Bilanz!G12</f>
        <v/>
      </c>
      <c r="D18" s="113">
        <f>(Bilanz!H13+Bilanz!H18)/Bilanz!H12</f>
        <v/>
      </c>
      <c r="E18" s="105" t="n"/>
      <c r="F18" s="82" t="n"/>
      <c r="G18" s="106" t="inlineStr">
        <is>
          <t>Fremdkapital im Verhältnis zum Eigenkapital</t>
        </is>
      </c>
    </row>
    <row r="21" ht="24" customHeight="1" s="62">
      <c r="B21" s="65" t="inlineStr">
        <is>
          <t>STEUERLICHE SITUATION</t>
        </is>
      </c>
      <c r="C21" s="66" t="n"/>
      <c r="D21" s="66" t="n"/>
      <c r="E21" s="66" t="n"/>
      <c r="F21" s="66" t="n"/>
      <c r="G21" s="66" t="n"/>
    </row>
    <row r="22" ht="18" customHeight="1" s="62">
      <c r="B22" s="71" t="inlineStr">
        <is>
          <t>Ertragsteuern 2025</t>
        </is>
      </c>
      <c r="C22" s="95" t="n">
        <v>0</v>
      </c>
      <c r="G22" s="101" t="inlineStr">
        <is>
          <t>Verlustjahr – keine Körperschaft- und Gewerbesteuer</t>
        </is>
      </c>
    </row>
    <row r="23" ht="18" customHeight="1" s="62">
      <c r="B23" s="71" t="inlineStr">
        <is>
          <t>Verlustvorträge zum 31.12.2025 (rund)</t>
        </is>
      </c>
      <c r="C23" s="95" t="n">
        <v>880000</v>
      </c>
      <c r="G23" s="101" t="inlineStr">
        <is>
          <t>Körperschaft- und Gewerbesteuer, kumuliert seit 2022</t>
        </is>
      </c>
    </row>
    <row r="24" ht="18" customHeight="1" s="62">
      <c r="B24" s="71" t="inlineStr">
        <is>
          <t>Effektiver Steuersatz bei künftiger Profitabilität</t>
        </is>
      </c>
      <c r="C24" s="123" t="n">
        <v>0.319</v>
      </c>
      <c r="G24" s="101" t="inlineStr">
        <is>
          <t>KSt 15 % + SolZ 5,5 % + GewSt bei Leipziger Hebesatz von 460 %</t>
        </is>
      </c>
    </row>
    <row r="27" ht="46.25" customHeight="1" s="62">
      <c r="B27" s="79" t="inlineStr">
        <is>
          <t>Alle Kennzahlen sind formelbasiert aus den Blättern Bilanz und GuV abgeleitet und rechnen bei Änderungen der Ausgangswerte automatisch nach. Fiktives Schulungsunternehmen – Größenordnungen orientiert an deutschen B2B-SaaS-Unternehmen in der Seed-Phase.</t>
        </is>
      </c>
    </row>
  </sheetData>
  <printOptions horizontalCentered="0" verticalCentered="0" headings="0" gridLines="0" gridLinesSet="1"/>
  <pageMargins left="0.4" right="0.4" top="0.5" bottom="0.5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&amp;R&amp;7 &amp;K6b6b80LeadPilot GmbH  ·  &amp;A  ·  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2026-07-31T15:49:58Z</dcterms:created>
  <dcterms:modified xmlns:dcterms="http://purl.org/dc/terms/" xmlns:xsi="http://www.w3.org/2001/XMLSchema-instance" xsi:type="dcterms:W3CDTF">2026-08-02T22:30:53Z</dcterms:modified>
  <cp:revision>0</cp:revision>
</cp:coreProperties>
</file>